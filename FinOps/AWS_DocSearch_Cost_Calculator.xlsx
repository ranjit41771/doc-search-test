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anjit41771/Documents/Claude/Projects/Personal/"/>
    </mc:Choice>
  </mc:AlternateContent>
  <xr:revisionPtr revIDLastSave="0" documentId="13_ncr:1_{AFDF9FEF-46C8-2542-8A04-E9057BC8BCD0}" xr6:coauthVersionLast="47" xr6:coauthVersionMax="47" xr10:uidLastSave="{00000000-0000-0000-0000-000000000000}"/>
  <bookViews>
    <workbookView xWindow="0" yWindow="860" windowWidth="36000" windowHeight="22520" tabRatio="500" activeTab="2" xr2:uid="{00000000-000D-0000-FFFF-FFFF00000000}"/>
  </bookViews>
  <sheets>
    <sheet name="Summary" sheetId="1" r:id="rId1"/>
    <sheet name="Pricing" sheetId="2" r:id="rId2"/>
    <sheet name="Inputs" sheetId="3" r:id="rId3"/>
    <sheet name="Compute" sheetId="4" r:id="rId4"/>
    <sheet name="Storage" sheetId="5" r:id="rId5"/>
    <sheet name="Database" sheetId="6" r:id="rId6"/>
    <sheet name="Messaging" sheetId="7" r:id="rId7"/>
    <sheet name="Network" sheetId="8" r:id="rId8"/>
    <sheet name="DevOps" sheetId="9" r:id="rId9"/>
    <sheet name="Projections" sheetId="10" r:id="rId10"/>
    <sheet name="Cheat Sheet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J11" i="10"/>
  <c r="I11" i="10"/>
  <c r="H11" i="10"/>
  <c r="J10" i="10"/>
  <c r="I10" i="10"/>
  <c r="H10" i="10"/>
  <c r="J9" i="10"/>
  <c r="I9" i="10"/>
  <c r="H9" i="10"/>
  <c r="J8" i="10"/>
  <c r="I8" i="10"/>
  <c r="H8" i="10"/>
  <c r="J7" i="10"/>
  <c r="I7" i="10"/>
  <c r="H7" i="10"/>
  <c r="J6" i="10"/>
  <c r="I6" i="10"/>
  <c r="H6" i="10"/>
  <c r="J5" i="10"/>
  <c r="I5" i="10"/>
  <c r="H5" i="10"/>
  <c r="B21" i="9"/>
  <c r="B19" i="9"/>
  <c r="B17" i="9"/>
  <c r="B22" i="9" s="1"/>
  <c r="B9" i="9"/>
  <c r="B11" i="9" s="1"/>
  <c r="B6" i="9"/>
  <c r="B10" i="9" s="1"/>
  <c r="B12" i="9" s="1"/>
  <c r="B35" i="8"/>
  <c r="B33" i="8"/>
  <c r="B27" i="8"/>
  <c r="B25" i="8"/>
  <c r="B19" i="8"/>
  <c r="B17" i="8"/>
  <c r="B15" i="8"/>
  <c r="B9" i="8"/>
  <c r="B6" i="8"/>
  <c r="B10" i="8" s="1"/>
  <c r="B6" i="7"/>
  <c r="B9" i="7" s="1"/>
  <c r="B13" i="7" s="1"/>
  <c r="B21" i="6"/>
  <c r="B24" i="6" s="1"/>
  <c r="B15" i="6"/>
  <c r="B12" i="6"/>
  <c r="B10" i="6"/>
  <c r="B6" i="6"/>
  <c r="B13" i="6" s="1"/>
  <c r="B31" i="5"/>
  <c r="B32" i="5" s="1"/>
  <c r="B19" i="5"/>
  <c r="B18" i="5"/>
  <c r="B10" i="5"/>
  <c r="B12" i="5" s="1"/>
  <c r="B6" i="5"/>
  <c r="B11" i="5" s="1"/>
  <c r="B13" i="5" s="1"/>
  <c r="B23" i="4"/>
  <c r="B10" i="4"/>
  <c r="B9" i="4"/>
  <c r="B18" i="4" s="1"/>
  <c r="B32" i="3"/>
  <c r="B35" i="3" s="1"/>
  <c r="B36" i="3" s="1"/>
  <c r="B27" i="3"/>
  <c r="B22" i="5" s="1"/>
  <c r="B24" i="5" s="1"/>
  <c r="B26" i="3"/>
  <c r="B18" i="8" s="1"/>
  <c r="B20" i="8" s="1"/>
  <c r="B25" i="3"/>
  <c r="B4" i="1" s="1"/>
  <c r="B3" i="1"/>
  <c r="B2" i="1"/>
  <c r="B38" i="3" l="1"/>
  <c r="B11" i="7" s="1"/>
  <c r="B29" i="3"/>
  <c r="B31" i="3" s="1"/>
  <c r="B23" i="5"/>
  <c r="B25" i="5" s="1"/>
  <c r="B26" i="8"/>
  <c r="B28" i="8" s="1"/>
  <c r="B28" i="3"/>
  <c r="B30" i="3" s="1"/>
  <c r="B5" i="1" s="1"/>
  <c r="B21" i="5"/>
  <c r="B11" i="1"/>
  <c r="B24" i="9"/>
  <c r="B13" i="1" s="1"/>
  <c r="B20" i="5"/>
  <c r="B33" i="3"/>
  <c r="B34" i="3"/>
  <c r="B9" i="6" s="1"/>
  <c r="B14" i="6" s="1"/>
  <c r="B16" i="6" s="1"/>
  <c r="B26" i="6" s="1"/>
  <c r="B10" i="1" s="1"/>
  <c r="B11" i="4"/>
  <c r="B25" i="4" s="1"/>
  <c r="B8" i="1" s="1"/>
  <c r="K10" i="10" l="1"/>
  <c r="L10" i="10" s="1"/>
  <c r="M10" i="10" s="1"/>
  <c r="K6" i="10"/>
  <c r="L6" i="10" s="1"/>
  <c r="M6" i="10" s="1"/>
  <c r="K8" i="10"/>
  <c r="L8" i="10" s="1"/>
  <c r="M8" i="10" s="1"/>
  <c r="K9" i="10"/>
  <c r="L9" i="10" s="1"/>
  <c r="M9" i="10" s="1"/>
  <c r="B26" i="5"/>
  <c r="B34" i="5" s="1"/>
  <c r="B9" i="1" s="1"/>
  <c r="C9" i="1" s="1"/>
  <c r="B37" i="3"/>
  <c r="B32" i="8" s="1"/>
  <c r="C10" i="1"/>
  <c r="C8" i="1"/>
  <c r="C13" i="1"/>
  <c r="C11" i="1"/>
  <c r="K11" i="10"/>
  <c r="L11" i="10" s="1"/>
  <c r="M11" i="10" s="1"/>
  <c r="K7" i="10"/>
  <c r="L7" i="10" s="1"/>
  <c r="M7" i="10" s="1"/>
  <c r="K5" i="10"/>
  <c r="L5" i="10" s="1"/>
  <c r="M5" i="10" s="1"/>
  <c r="B39" i="3" l="1"/>
  <c r="B34" i="8" s="1"/>
  <c r="B36" i="8" s="1"/>
  <c r="B38" i="8" s="1"/>
  <c r="B12" i="1" s="1"/>
  <c r="C12" i="1" l="1"/>
  <c r="B14" i="1"/>
  <c r="D9" i="1" s="1"/>
  <c r="D10" i="1" l="1"/>
  <c r="B19" i="1"/>
  <c r="B22" i="1"/>
  <c r="B18" i="1"/>
  <c r="B20" i="1"/>
  <c r="D12" i="1"/>
  <c r="D13" i="1"/>
  <c r="D8" i="1"/>
  <c r="C14" i="1"/>
  <c r="D11" i="1"/>
</calcChain>
</file>

<file path=xl/sharedStrings.xml><?xml version="1.0" encoding="utf-8"?>
<sst xmlns="http://schemas.openxmlformats.org/spreadsheetml/2006/main" count="701" uniqueCount="504">
  <si>
    <t>AWS Cost Calculator  |  Document Search Service  |  ap-south-1 (Mumbai)</t>
  </si>
  <si>
    <t>Scenario:</t>
  </si>
  <si>
    <t>Active Tenants:</t>
  </si>
  <si>
    <t>Total Documents:</t>
  </si>
  <si>
    <t>Peak Search QPS:</t>
  </si>
  <si>
    <t>Service Category</t>
  </si>
  <si>
    <t>Monthly ($)</t>
  </si>
  <si>
    <t>Annual ($)</t>
  </si>
  <si>
    <t>% of Total</t>
  </si>
  <si>
    <t>Compute  (ECS Fargate — API Pods + Index Workers)</t>
  </si>
  <si>
    <t>Storage &amp; Search  (OpenSearch, S3, ECR)</t>
  </si>
  <si>
    <t>Database  (Aurora PostgreSQL, ElastiCache Redis)</t>
  </si>
  <si>
    <t>Messaging  (Amazon MQ — RabbitMQ)</t>
  </si>
  <si>
    <t>Network &amp; Security  (ALB, WAF, Route 53, Transfer)</t>
  </si>
  <si>
    <t>DevOps &amp; Observability  (CodePipeline, CloudWatch)</t>
  </si>
  <si>
    <t>TOTAL</t>
  </si>
  <si>
    <t>100.0%</t>
  </si>
  <si>
    <t>UNIT ECONOMICS</t>
  </si>
  <si>
    <t>Metric</t>
  </si>
  <si>
    <t>Value</t>
  </si>
  <si>
    <t>Cost per tenant per month ($)</t>
  </si>
  <si>
    <t>Cost per tenant per year ($)</t>
  </si>
  <si>
    <t>Cost per 1M search queries ($)</t>
  </si>
  <si>
    <t>Cost per 1M document writes ($)</t>
  </si>
  <si>
    <t>Cost per GB stored (raw text) ($)</t>
  </si>
  <si>
    <t>Legend:</t>
  </si>
  <si>
    <t>Blue text + yellow background = editable input (change these to model scenarios)</t>
  </si>
  <si>
    <t>Green text = cross-sheet link (formula pulling from another tab)</t>
  </si>
  <si>
    <t>Black text = formula (calculated automatically — do not edit)</t>
  </si>
  <si>
    <t>Edit any blue cell in Inputs or Pricing to re-run the entire model.</t>
  </si>
  <si>
    <t>AWS Pricing — ap-south-1 (Mumbai) — On-Demand</t>
  </si>
  <si>
    <t>Rates approximate as of May 2026. Edit any blue cell to update. Cross-check at calculator.aws before citing exact numbers.</t>
  </si>
  <si>
    <t>COMPUTE — ECS FARGATE</t>
  </si>
  <si>
    <t>Service</t>
  </si>
  <si>
    <t>Rate ($)</t>
  </si>
  <si>
    <t>Unit</t>
  </si>
  <si>
    <t>Notes</t>
  </si>
  <si>
    <t>Fargate vCPU</t>
  </si>
  <si>
    <t>per vCPU-hour</t>
  </si>
  <si>
    <t>ap-south-1 on-demand</t>
  </si>
  <si>
    <t>Fargate Memory</t>
  </si>
  <si>
    <t>per GB-hour</t>
  </si>
  <si>
    <t>STORAGE</t>
  </si>
  <si>
    <t>S3 Standard</t>
  </si>
  <si>
    <t>per GB-month</t>
  </si>
  <si>
    <t>hot tier</t>
  </si>
  <si>
    <t>S3 Infrequent Access</t>
  </si>
  <si>
    <t>warm tier</t>
  </si>
  <si>
    <t>S3 Glacier Instant Retrieval</t>
  </si>
  <si>
    <t>cold tier</t>
  </si>
  <si>
    <t>S3 PUT requests</t>
  </si>
  <si>
    <t>per 1,000 reqs</t>
  </si>
  <si>
    <t>S3 GET requests</t>
  </si>
  <si>
    <t>EBS gp3</t>
  </si>
  <si>
    <t>OpenSearch data node volumes</t>
  </si>
  <si>
    <t>ECR (Container Registry)</t>
  </si>
  <si>
    <t>stored image layers</t>
  </si>
  <si>
    <t>DATABASE — AURORA POSTGRESQL</t>
  </si>
  <si>
    <t>Aurora db.r5.large</t>
  </si>
  <si>
    <t>per hour</t>
  </si>
  <si>
    <t>ap-south-1</t>
  </si>
  <si>
    <t>Aurora db.r5.xlarge</t>
  </si>
  <si>
    <t>Aurora storage</t>
  </si>
  <si>
    <t>Aurora I/O</t>
  </si>
  <si>
    <t>per 1M requests</t>
  </si>
  <si>
    <t>CACHE — ELASTICACHE REDIS</t>
  </si>
  <si>
    <t>ElastiCache cache.r5.large</t>
  </si>
  <si>
    <t>ElastiCache cache.r5.xlarge</t>
  </si>
  <si>
    <t>SEARCH — AMAZON OPENSEARCH SERVICE</t>
  </si>
  <si>
    <t>OpenSearch m5.large.search</t>
  </si>
  <si>
    <t>ap-south-1 data node</t>
  </si>
  <si>
    <t>OpenSearch m5.xlarge.search</t>
  </si>
  <si>
    <t>MESSAGING — AMAZON MQ (RABBITMQ)</t>
  </si>
  <si>
    <t>Amazon MQ mq.m5.large</t>
  </si>
  <si>
    <t>single-instance broker, ap-south-1</t>
  </si>
  <si>
    <t>Amazon MQ mq.m5.xlarge</t>
  </si>
  <si>
    <t>NETWORK &amp; SECURITY</t>
  </si>
  <si>
    <t>Data transfer out to Internet</t>
  </si>
  <si>
    <t>per GB</t>
  </si>
  <si>
    <t>first 10 TB/month</t>
  </si>
  <si>
    <t>Inter-AZ transfer (each way)</t>
  </si>
  <si>
    <t>ALB base</t>
  </si>
  <si>
    <t>Application Load Balancer</t>
  </si>
  <si>
    <t>ALB LCU</t>
  </si>
  <si>
    <t>per LCU-hour</t>
  </si>
  <si>
    <t>Route53 hosted zone</t>
  </si>
  <si>
    <t>per zone/month</t>
  </si>
  <si>
    <t>Route53 DNS queries</t>
  </si>
  <si>
    <t>per 1M queries</t>
  </si>
  <si>
    <t>WAF WebACL</t>
  </si>
  <si>
    <t>per WebACL/month</t>
  </si>
  <si>
    <t>WAF rules</t>
  </si>
  <si>
    <t>per rule/month</t>
  </si>
  <si>
    <t>WAF requests</t>
  </si>
  <si>
    <t>DEVOPS &amp; OBSERVABILITY</t>
  </si>
  <si>
    <t>CodePipeline</t>
  </si>
  <si>
    <t>per pipeline/month</t>
  </si>
  <si>
    <t>active pipelines only</t>
  </si>
  <si>
    <t>CodeBuild</t>
  </si>
  <si>
    <t>per build-minute</t>
  </si>
  <si>
    <t>general1.small</t>
  </si>
  <si>
    <t>CloudWatch custom metrics</t>
  </si>
  <si>
    <t>per metric/month</t>
  </si>
  <si>
    <t>first 10K metrics</t>
  </si>
  <si>
    <t>CloudWatch log ingestion</t>
  </si>
  <si>
    <t>per GB ingested</t>
  </si>
  <si>
    <t>CloudWatch alarms</t>
  </si>
  <si>
    <t>per alarm/month</t>
  </si>
  <si>
    <t>standard resolution</t>
  </si>
  <si>
    <t>Workload Inputs &amp; Derived Metrics</t>
  </si>
  <si>
    <t>SCENARIO ASSUMPTIONS  (edit blue cells)</t>
  </si>
  <si>
    <t>Parameter</t>
  </si>
  <si>
    <t>Scenario name</t>
  </si>
  <si>
    <t>Document Search Service</t>
  </si>
  <si>
    <t>preset — change to match the deployment</t>
  </si>
  <si>
    <t>Active tenants</t>
  </si>
  <si>
    <t>tenants</t>
  </si>
  <si>
    <t>number of customer tenants on the platform</t>
  </si>
  <si>
    <t>Avg documents per tenant</t>
  </si>
  <si>
    <t>docs</t>
  </si>
  <si>
    <t>e.g., 10K docs avg per tenant</t>
  </si>
  <si>
    <t>Avg doc size — text (KB)</t>
  </si>
  <si>
    <t>KB</t>
  </si>
  <si>
    <t>title + content combined</t>
  </si>
  <si>
    <t>Avg metadata size (KB)</t>
  </si>
  <si>
    <t>JSON metadata field</t>
  </si>
  <si>
    <t>Search queries / tenant / day</t>
  </si>
  <si>
    <t>queries</t>
  </si>
  <si>
    <t>full-text search via OpenSearch</t>
  </si>
  <si>
    <t>Document writes / tenant / day</t>
  </si>
  <si>
    <t>new docs indexed per tenant per day</t>
  </si>
  <si>
    <t>Media attachment rate</t>
  </si>
  <si>
    <t>fraction</t>
  </si>
  <si>
    <t>% of docs that include a media file</t>
  </si>
  <si>
    <t>Avg media size (KB)</t>
  </si>
  <si>
    <t>avg attachment size (image / PDF)</t>
  </si>
  <si>
    <t>Data retention</t>
  </si>
  <si>
    <t>days</t>
  </si>
  <si>
    <t>how long documents are stored</t>
  </si>
  <si>
    <t>HELPER MULTIPLIERS  (Rules of Thumb)</t>
  </si>
  <si>
    <t>Multiplier</t>
  </si>
  <si>
    <t>Peak-to-average multiplier</t>
  </si>
  <si>
    <t>x</t>
  </si>
  <si>
    <t>2-3x typical for B2B SaaS</t>
  </si>
  <si>
    <t>Cache hit ratio (search)</t>
  </si>
  <si>
    <t>70% of searches served from Redis L2</t>
  </si>
  <si>
    <t>Replication factor</t>
  </si>
  <si>
    <t>3x for CRDB + ES shard replicas</t>
  </si>
  <si>
    <t>Cross-AZ traffic factor</t>
  </si>
  <si>
    <t>inter-AZ multiplier for ingress</t>
  </si>
  <si>
    <t>DERIVED METRICS  (formulas — do not edit)</t>
  </si>
  <si>
    <t>Formula reference</t>
  </si>
  <si>
    <t>Total documents</t>
  </si>
  <si>
    <t>tenants × docs per tenant</t>
  </si>
  <si>
    <t>Total search queries / day</t>
  </si>
  <si>
    <t>queries/day</t>
  </si>
  <si>
    <t>tenants × searches per tenant</t>
  </si>
  <si>
    <t>Total document writes / day</t>
  </si>
  <si>
    <t>writes/day</t>
  </si>
  <si>
    <t>tenants × writes per tenant</t>
  </si>
  <si>
    <t>Avg searches per second</t>
  </si>
  <si>
    <t>QPS</t>
  </si>
  <si>
    <t>total searches / 86,400 s</t>
  </si>
  <si>
    <t>Avg writes per second</t>
  </si>
  <si>
    <t>total writes / 86,400 s</t>
  </si>
  <si>
    <t>Peak searches per second</t>
  </si>
  <si>
    <t>avg × peak multiplier</t>
  </si>
  <si>
    <t>Peak writes per second</t>
  </si>
  <si>
    <t>Raw text data (GB)</t>
  </si>
  <si>
    <t>GB</t>
  </si>
  <si>
    <t>docs × (text+meta)KB ÷ 1024²</t>
  </si>
  <si>
    <t>Raw data with media (GB)</t>
  </si>
  <si>
    <t>text + media attachments</t>
  </si>
  <si>
    <t>CRDB stored data — with replication (GB)</t>
  </si>
  <si>
    <t>text × replication factor</t>
  </si>
  <si>
    <t>ES index size — 2× raw (GB)</t>
  </si>
  <si>
    <t>inverted index ~2× raw content</t>
  </si>
  <si>
    <t>ES with shard replicas (GB total)</t>
  </si>
  <si>
    <t>primary + 1 replica per shard</t>
  </si>
  <si>
    <t>Monthly egress — search responses (GB)</t>
  </si>
  <si>
    <t>GB/month</t>
  </si>
  <si>
    <t>searches/sec × 86400 × 30 × 5 KB</t>
  </si>
  <si>
    <t>Queue messages / month</t>
  </si>
  <si>
    <t>messages</t>
  </si>
  <si>
    <t>daily writes × 30 days</t>
  </si>
  <si>
    <t>Inter-AZ GB / month</t>
  </si>
  <si>
    <t>egress × cross-AZ factor</t>
  </si>
  <si>
    <t>Compute Cost Breakdown</t>
  </si>
  <si>
    <t>ECS Fargate — API Pods (Active / Blue Environment)</t>
  </si>
  <si>
    <t>vCPU per task</t>
  </si>
  <si>
    <t>vCPU</t>
  </si>
  <si>
    <t>handles ~500 req/s per pod</t>
  </si>
  <si>
    <t>Memory per task (GB)</t>
  </si>
  <si>
    <t>FastAPI + asyncpg, fits comfortably</t>
  </si>
  <si>
    <t>Number of API tasks</t>
  </si>
  <si>
    <t>count</t>
  </si>
  <si>
    <t>floor for multi-AZ; scales behind ALB</t>
  </si>
  <si>
    <t>Hours per month</t>
  </si>
  <si>
    <t>hrs</t>
  </si>
  <si>
    <t>24 × 365 / 12</t>
  </si>
  <si>
    <t>Fargate vCPU rate</t>
  </si>
  <si>
    <t>$/vCPU-hr</t>
  </si>
  <si>
    <t>linked to Pricing!B5</t>
  </si>
  <si>
    <t>Fargate memory rate</t>
  </si>
  <si>
    <t>$/GB-hr</t>
  </si>
  <si>
    <t>linked to Pricing!B6</t>
  </si>
  <si>
    <t>API pods monthly cost</t>
  </si>
  <si>
    <t>(vCPU×rate + mem×rate) × tasks × hrs</t>
  </si>
  <si>
    <t>ECS Fargate — Index Workers (Active)</t>
  </si>
  <si>
    <t>vCPU per worker task</t>
  </si>
  <si>
    <t>light async consumer — 0.5 vCPU sufficient</t>
  </si>
  <si>
    <t>Memory per worker task (GB)</t>
  </si>
  <si>
    <t>Number of index worker tasks</t>
  </si>
  <si>
    <t>single worker handles low QPS; add more at 10× scale</t>
  </si>
  <si>
    <t>Index workers monthly cost</t>
  </si>
  <si>
    <t>same hrs/month as API pods</t>
  </si>
  <si>
    <t>Green Environment Overhead (Blue/Green Deployment Windows)</t>
  </si>
  <si>
    <t>Deployment hours / month</t>
  </si>
  <si>
    <t>estimate: ~2 deploys/month × 2 hrs overlap</t>
  </si>
  <si>
    <t>Green env monthly overhead</t>
  </si>
  <si>
    <t>spin-up green → shift ALB traffic → terminate blue</t>
  </si>
  <si>
    <t>TOTAL COMPUTE (Monthly)</t>
  </si>
  <si>
    <t>Storage &amp; Search Cost Breakdown</t>
  </si>
  <si>
    <t>Amazon OpenSearch Service (Search Index — 5 Shards, 1 Replica)</t>
  </si>
  <si>
    <t>Instance type</t>
  </si>
  <si>
    <t>m5.large.search</t>
  </si>
  <si>
    <t>—</t>
  </si>
  <si>
    <t>change rate below if upgrading to m5.xlarge</t>
  </si>
  <si>
    <t>Hourly rate ($/hr)</t>
  </si>
  <si>
    <t>$/hr</t>
  </si>
  <si>
    <t>Pricing!B32 — m5.large.search</t>
  </si>
  <si>
    <t>Number of data nodes</t>
  </si>
  <si>
    <t>3 nodes spread across AZs; 3 master nodes included by AWS</t>
  </si>
  <si>
    <t>EBS gp3 per node (GB)</t>
  </si>
  <si>
    <t>holds ES shards; grow as document volume increases</t>
  </si>
  <si>
    <t>EBS gp3 rate</t>
  </si>
  <si>
    <t>$/GB-month</t>
  </si>
  <si>
    <t>OpenSearch compute cost</t>
  </si>
  <si>
    <t>OpenSearch EBS storage cost</t>
  </si>
  <si>
    <t>OpenSearch subtotal</t>
  </si>
  <si>
    <t>Amazon S3 (Build Artifacts + Document Media Attachments)</t>
  </si>
  <si>
    <t>Build artifact storage (GB)</t>
  </si>
  <si>
    <t>CodeBuild output ZIPs, kept 90 days</t>
  </si>
  <si>
    <t>Document media storage (GB)</t>
  </si>
  <si>
    <t>from Inputs: tenants × docs × media_rate × media_size</t>
  </si>
  <si>
    <t>S3 Standard rate</t>
  </si>
  <si>
    <t>Artifact storage cost</t>
  </si>
  <si>
    <t>Media storage cost</t>
  </si>
  <si>
    <t>Monthly PUT requests (media writes)</t>
  </si>
  <si>
    <t>daily writes × 30 × media fraction</t>
  </si>
  <si>
    <t>Monthly GET requests (search-related)</t>
  </si>
  <si>
    <t>daily searches × 30</t>
  </si>
  <si>
    <t>S3 PUT cost</t>
  </si>
  <si>
    <t>S3 GET cost</t>
  </si>
  <si>
    <t>S3 subtotal</t>
  </si>
  <si>
    <t>Amazon ECR (Container Registry)</t>
  </si>
  <si>
    <t>Container images stored (GB)</t>
  </si>
  <si>
    <t>API image + index worker image, versioned layers</t>
  </si>
  <si>
    <t>ECR rate</t>
  </si>
  <si>
    <t>ECR monthly cost</t>
  </si>
  <si>
    <t>TOTAL STORAGE &amp; SEARCH (Monthly)</t>
  </si>
  <si>
    <t>Database Cost Breakdown</t>
  </si>
  <si>
    <t>Aurora PostgreSQL — Source of Truth (CockroachDB-compatible via Aurora)</t>
  </si>
  <si>
    <t>Instance label</t>
  </si>
  <si>
    <t>db.r5.large</t>
  </si>
  <si>
    <t>update rate below if upgrading</t>
  </si>
  <si>
    <t>linked to Pricing — change rate if you resize</t>
  </si>
  <si>
    <t>Number of instances</t>
  </si>
  <si>
    <t>1 writer + 1 read replica (multi-AZ)</t>
  </si>
  <si>
    <t>Aurora storage (GB)</t>
  </si>
  <si>
    <t>CRDB with replication × 1.5 headroom for WAL + indexes</t>
  </si>
  <si>
    <t>Aurora storage rate</t>
  </si>
  <si>
    <t>Est. Aurora I/O (millions / month)</t>
  </si>
  <si>
    <t>M reqs</t>
  </si>
  <si>
    <t>increase with write volume; monitor in CloudWatch</t>
  </si>
  <si>
    <t>Aurora I/O rate</t>
  </si>
  <si>
    <t>$/1M reqs</t>
  </si>
  <si>
    <t>Aurora compute cost</t>
  </si>
  <si>
    <t>Aurora storage cost</t>
  </si>
  <si>
    <t>Aurora I/O cost</t>
  </si>
  <si>
    <t>Aurora subtotal</t>
  </si>
  <si>
    <t>ElastiCache Redis — L2 Cache + Rate Limiting (Sliding Window)</t>
  </si>
  <si>
    <t>Node label</t>
  </si>
  <si>
    <t>cache.r5.large</t>
  </si>
  <si>
    <t>Pricing!B27</t>
  </si>
  <si>
    <t>Number of Redis nodes</t>
  </si>
  <si>
    <t>1 primary + 1 read replica for HA</t>
  </si>
  <si>
    <t>Redis monthly cost</t>
  </si>
  <si>
    <t>TOTAL DATABASE (Monthly)</t>
  </si>
  <si>
    <t>Messaging Cost Breakdown</t>
  </si>
  <si>
    <t>Amazon MQ — RabbitMQ  (Async Index Queue: CRDB Write → MQ → Worker → OpenSearch)</t>
  </si>
  <si>
    <t>Broker type</t>
  </si>
  <si>
    <t>mq.m5.large</t>
  </si>
  <si>
    <t>single-instance; upgrade to active/standby for HA</t>
  </si>
  <si>
    <t>Pricing!B37</t>
  </si>
  <si>
    <t>Number of brokers</t>
  </si>
  <si>
    <t>scale to 2 (active/standby) for production HA</t>
  </si>
  <si>
    <t>Broker compute cost</t>
  </si>
  <si>
    <t>Queue message volume / month (informational)</t>
  </si>
  <si>
    <t>Included in broker cost — shown for capacity planning</t>
  </si>
  <si>
    <t>TOTAL MESSAGING (Monthly)</t>
  </si>
  <si>
    <t>Network &amp; Security Cost Breakdown</t>
  </si>
  <si>
    <t>Application Load Balancer (ALB)</t>
  </si>
  <si>
    <t>Number of ALBs</t>
  </si>
  <si>
    <t>1 ALB routes to blue/green target groups</t>
  </si>
  <si>
    <t>ALB base rate</t>
  </si>
  <si>
    <t>Estimated LCU-hours / month</t>
  </si>
  <si>
    <t>LCU-hrs</t>
  </si>
  <si>
    <t>increases with RPS; 1 LCU ~ 25 new connections/sec</t>
  </si>
  <si>
    <t>ALB LCU rate</t>
  </si>
  <si>
    <t>$/LCU-hr</t>
  </si>
  <si>
    <t>ALB monthly cost</t>
  </si>
  <si>
    <t>AWS WAF (DDoS + SQL Injection Protection)</t>
  </si>
  <si>
    <t>Number of WebACLs</t>
  </si>
  <si>
    <t>WAF WebACL rate</t>
  </si>
  <si>
    <t>$/WebACL/month</t>
  </si>
  <si>
    <t>Number of WAF rules</t>
  </si>
  <si>
    <t>rules</t>
  </si>
  <si>
    <t>rate limiting, geo-block, SQL injection, XSS, known bad IPs</t>
  </si>
  <si>
    <t>WAF rule rate</t>
  </si>
  <si>
    <t>$/rule/month</t>
  </si>
  <si>
    <t>Monthly requests (millions)</t>
  </si>
  <si>
    <t>daily searches × 30 ÷ 1M</t>
  </si>
  <si>
    <t>WAF request rate</t>
  </si>
  <si>
    <t>WAF monthly cost</t>
  </si>
  <si>
    <t>Amazon Route 53 (DNS)</t>
  </si>
  <si>
    <t>Hosted zones</t>
  </si>
  <si>
    <t>Zone rate</t>
  </si>
  <si>
    <t>$/zone/month</t>
  </si>
  <si>
    <t>Monthly DNS queries (millions)</t>
  </si>
  <si>
    <t>M queries</t>
  </si>
  <si>
    <t>DNS query rate</t>
  </si>
  <si>
    <t>$/1M queries</t>
  </si>
  <si>
    <t>Route53 monthly cost</t>
  </si>
  <si>
    <t>Data Transfer</t>
  </si>
  <si>
    <t>Monthly egress to Internet (GB)</t>
  </si>
  <si>
    <t>linked from Inputs derived metrics</t>
  </si>
  <si>
    <t>Egress rate</t>
  </si>
  <si>
    <t>$/GB</t>
  </si>
  <si>
    <t>Inter-AZ monthly (GB)</t>
  </si>
  <si>
    <t>traffic × cross-AZ factor from Inputs</t>
  </si>
  <si>
    <t>Inter-AZ rate</t>
  </si>
  <si>
    <t>Data transfer monthly cost</t>
  </si>
  <si>
    <t>TOTAL NETWORK &amp; SECURITY (Monthly)</t>
  </si>
  <si>
    <t>DevOps &amp; Observability Cost Breakdown</t>
  </si>
  <si>
    <t>CI/CD Pipeline (CodePipeline → CodeBuild → ECR → CodeDeploy Blue/Green)</t>
  </si>
  <si>
    <t>CodePipeline pipelines</t>
  </si>
  <si>
    <t>1 pipeline: GitHub → Build → Deploy</t>
  </si>
  <si>
    <t>CodePipeline rate</t>
  </si>
  <si>
    <t>$/pipeline/month</t>
  </si>
  <si>
    <t>Builds per month</t>
  </si>
  <si>
    <t>builds</t>
  </si>
  <si>
    <t>~1 build/day on weekdays + PRs</t>
  </si>
  <si>
    <t>Avg build duration (minutes)</t>
  </si>
  <si>
    <t>min</t>
  </si>
  <si>
    <t>Docker build + unit tests + push to ECR</t>
  </si>
  <si>
    <t>CodeBuild rate</t>
  </si>
  <si>
    <t>$/build-min</t>
  </si>
  <si>
    <t>CodePipeline monthly cost</t>
  </si>
  <si>
    <t>CodeBuild monthly cost</t>
  </si>
  <si>
    <t>CI/CD subtotal</t>
  </si>
  <si>
    <t>Amazon CloudWatch (Metrics + Logs + Alarms + Distributed Tracing)</t>
  </si>
  <si>
    <t>Custom metrics (count)</t>
  </si>
  <si>
    <t>metrics</t>
  </si>
  <si>
    <t>search_latency_p95, cache_hit_ratio, queue_depth, etc.</t>
  </si>
  <si>
    <t>Metrics rate</t>
  </si>
  <si>
    <t>$/metric/month</t>
  </si>
  <si>
    <t>Log ingestion per month (GB)</t>
  </si>
  <si>
    <t>JSON structured logs from all pods; increase at 10× scale</t>
  </si>
  <si>
    <t>Log ingestion rate</t>
  </si>
  <si>
    <t>CloudWatch alarms (count)</t>
  </si>
  <si>
    <t>alarms</t>
  </si>
  <si>
    <t>p95&gt;400ms, queue_depth&gt;10K, ES red, CRDB node down</t>
  </si>
  <si>
    <t>Alarm rate</t>
  </si>
  <si>
    <t>$/alarm/month</t>
  </si>
  <si>
    <t>CloudWatch monthly cost</t>
  </si>
  <si>
    <t>TOTAL DEVOPS &amp; OBSERVABILITY (Monthly)</t>
  </si>
  <si>
    <t>Cost Projections — Scale Scenarios (ap-south-1)</t>
  </si>
  <si>
    <t>Blue cells = editable assumptions per scenario. Costs computed from Pricing sheet rates. Fixed infra (MQ, ALB, WAF, Route53, DevOps) shown separately.</t>
  </si>
  <si>
    <t>Scale</t>
  </si>
  <si>
    <t>Tenants</t>
  </si>
  <si>
    <t>API
Pods</t>
  </si>
  <si>
    <t>Index
Workers</t>
  </si>
  <si>
    <t>Aurora
Instances</t>
  </si>
  <si>
    <t>Redis
Nodes</t>
  </si>
  <si>
    <t>OS
Nodes</t>
  </si>
  <si>
    <t>Fargate
Monthly ($)</t>
  </si>
  <si>
    <t>DB+Cache
Monthly ($)</t>
  </si>
  <si>
    <t>Search
Monthly ($)</t>
  </si>
  <si>
    <t>Fixed
Monthly ($)</t>
  </si>
  <si>
    <t>TOTAL
Monthly ($)</t>
  </si>
  <si>
    <t>MVP / 50 tenants</t>
  </si>
  <si>
    <t>100 tenants</t>
  </si>
  <si>
    <t>250 tenants</t>
  </si>
  <si>
    <t>500 tenants</t>
  </si>
  <si>
    <t>1,000 tenants</t>
  </si>
  <si>
    <t>2,500 tenants</t>
  </si>
  <si>
    <t>5,000 tenants</t>
  </si>
  <si>
    <t>Scaling Notes</t>
  </si>
  <si>
    <t>• Fargate: scales with tenant QPS — add pods as peak search QPS exceeds ~100 req/s per pod.</t>
  </si>
  <si>
    <t>• Aurora: stays on r5.large until write QPS &gt;1K/s; vertically scale to r5.xlarge, then add read replicas.</t>
  </si>
  <si>
    <t>• ElastiCache: r5.large holds ~50 GB; add nodes or upgrade to r5.xlarge when cache memory exceeds 80%.</t>
  </si>
  <si>
    <t>• OpenSearch: 3 data nodes + 3 dedicated masters handles ~10M documents; add nodes as shard size approaches 40 GB.</t>
  </si>
  <si>
    <t>• Amazon MQ: single mq.m5.large handles 10K+ messages/sec; upgrade to active/standby pair for HA at 250+ tenants.</t>
  </si>
  <si>
    <t>• Fixed costs (ALB, WAF, Route53, DevOps, CloudWatch) ≈ constant regardless of tenant count — strong economy of scale.</t>
  </si>
  <si>
    <t>• Reserved Instances: ~30% savings on 1-yr (Aurora, ElastiCache) and Savings Plans on Fargate; apply after 6 months of stable load.</t>
  </si>
  <si>
    <t>Architecture Reference  —  Numbers to Know</t>
  </si>
  <si>
    <t>THIS SYSTEM — COMPONENT CAPACITIES</t>
  </si>
  <si>
    <t>Resource / Operation</t>
  </si>
  <si>
    <t>Capacity / Latency</t>
  </si>
  <si>
    <t>1 Fargate pod (1 vCPU, 2 GB)</t>
  </si>
  <si>
    <t>~500 req/s (simple JSON)</t>
  </si>
  <si>
    <t>FastAPI + asyncpg; 3 pods = ~1500 req/s peak</t>
  </si>
  <si>
    <t>1 Aurora r5.large writer</t>
  </si>
  <si>
    <t>~5,000 QPS</t>
  </si>
  <si>
    <t>ACID writes; add read replicas for read-heavy</t>
  </si>
  <si>
    <t>1 Aurora r5.large reader</t>
  </si>
  <si>
    <t>~10,000 QPS</t>
  </si>
  <si>
    <t>read-only; horizontal read scaling</t>
  </si>
  <si>
    <t>1 ElastiCache r5.large (Redis)</t>
  </si>
  <si>
    <t>~100,000 ops/sec</t>
  </si>
  <si>
    <t>simple GET/SET; rate limiting + L2 cache</t>
  </si>
  <si>
    <t>1 OpenSearch m5.large node</t>
  </si>
  <si>
    <t>~50 GB shard data</t>
  </si>
  <si>
    <t>grow EBS before adding nodes</t>
  </si>
  <si>
    <t>OpenSearch 3-node cluster</t>
  </si>
  <si>
    <t>~10M documents</t>
  </si>
  <si>
    <t>5 primary + 5 replica shards, 20 GB EBS/node</t>
  </si>
  <si>
    <t>~10,000 messages/sec</t>
  </si>
  <si>
    <t>RabbitMQ; durable queues, delivery_mode=2</t>
  </si>
  <si>
    <t>ALB (Application Load Balancer)</t>
  </si>
  <si>
    <t>~25,000 new conns/sec</t>
  </si>
  <si>
    <t>scales automatically; LCU billing</t>
  </si>
  <si>
    <t>LATENCY — BACK OF ENVELOPE (Jeff Dean)</t>
  </si>
  <si>
    <t>L1 cache reference</t>
  </si>
  <si>
    <t>0.5 ns</t>
  </si>
  <si>
    <t>Main memory reference</t>
  </si>
  <si>
    <t>100 ns</t>
  </si>
  <si>
    <t>Redis GET (same AZ)</t>
  </si>
  <si>
    <t>~0.5 ms</t>
  </si>
  <si>
    <t>sub-ms when co-located</t>
  </si>
  <si>
    <t>Aurora read (primary)</t>
  </si>
  <si>
    <t>~2–5 ms</t>
  </si>
  <si>
    <t>Raft commit adds ~2ms on CockroachDB</t>
  </si>
  <si>
    <t>OpenSearch full-text query</t>
  </si>
  <si>
    <t>~50–150 ms</t>
  </si>
  <si>
    <t>properly sharded, warm cache</t>
  </si>
  <si>
    <t>Cross-AZ round trip</t>
  </si>
  <si>
    <t>~1–2 ms</t>
  </si>
  <si>
    <t>ap-south-1 intra-region</t>
  </si>
  <si>
    <t>ES cache filter BitSet</t>
  </si>
  <si>
    <t>near zero</t>
  </si>
  <si>
    <t>tenant_id filter cached at shard level</t>
  </si>
  <si>
    <t>CAP THEOREM — SYSTEM POSITIONS</t>
  </si>
  <si>
    <t>CockroachDB (Aurora)</t>
  </si>
  <si>
    <t>CP — Serializable</t>
  </si>
  <si>
    <t>Under partition: refuses writes rather than lose consistency</t>
  </si>
  <si>
    <t>Elasticsearch (OpenSearch)</t>
  </si>
  <si>
    <t>AP — Eventual (~1s)</t>
  </si>
  <si>
    <t>Under partition: serves stale results; acceptable for search</t>
  </si>
  <si>
    <t>Redis (ElastiCache)</t>
  </si>
  <si>
    <t>AP — Eventual</t>
  </si>
  <si>
    <t>Cache miss handled gracefully; rate limit may be slightly loose</t>
  </si>
  <si>
    <t>RabbitMQ (Amazon MQ)</t>
  </si>
  <si>
    <t>CP for persistence</t>
  </si>
  <si>
    <t>Durable queues; messages survive broker restart</t>
  </si>
  <si>
    <t>COST LEVERS — BIGGEST SAVINGS</t>
  </si>
  <si>
    <t>Aurora Reserved Instances (1-yr)</t>
  </si>
  <si>
    <t>~30% off on-demand</t>
  </si>
  <si>
    <t>commit after 6 months stable load</t>
  </si>
  <si>
    <t>Fargate Savings Plans</t>
  </si>
  <si>
    <t>~20% off Fargate</t>
  </si>
  <si>
    <t>1-yr commitment; no instance-type lock-in</t>
  </si>
  <si>
    <t>ElastiCache Reserved Nodes</t>
  </si>
  <si>
    <t>~30–40% off</t>
  </si>
  <si>
    <t>1- or 3-yr reserved</t>
  </si>
  <si>
    <t>OpenSearch Reserved Instances</t>
  </si>
  <si>
    <t>~30% off</t>
  </si>
  <si>
    <t>1- or 3-yr</t>
  </si>
  <si>
    <t>S3 Intelligent Tiering</t>
  </si>
  <si>
    <t>auto cost reduction</t>
  </si>
  <si>
    <t>media attachments auto-tier to IA after 30 days</t>
  </si>
  <si>
    <t>CloudFront in front of ALB</t>
  </si>
  <si>
    <t>~40% egress savings</t>
  </si>
  <si>
    <t>caches read-heavy responses; reduces ALB LCU</t>
  </si>
  <si>
    <t>INTERVIEW FRAMING — SYSTEM DESIGN TIPS</t>
  </si>
  <si>
    <t>Write path</t>
  </si>
  <si>
    <t>CRDB → API returns 201 → MQ (async) → ES index</t>
  </si>
  <si>
    <t>ES is derived, rebuildable; CRDB is source of truth</t>
  </si>
  <si>
    <t>Read path</t>
  </si>
  <si>
    <t>Redis L2 cache (70% hit) → OpenSearch → Redis write</t>
  </si>
  <si>
    <t>60s TTL; invalidate on write/delete</t>
  </si>
  <si>
    <t>Tenant isolation</t>
  </si>
  <si>
    <t>RLS in Aurora + tenant_id filter in every ES query</t>
  </si>
  <si>
    <t>defense in depth; ES filter cached at shard level</t>
  </si>
  <si>
    <t>Scale-out trigger</t>
  </si>
  <si>
    <t>CPU &gt;70% on pods OR queue depth &gt;10K</t>
  </si>
  <si>
    <t>add Fargate tasks; ALB auto-distributes</t>
  </si>
  <si>
    <t>Rebuild ES from CRDB</t>
  </si>
  <si>
    <t>re-enqueue all rows to MQ → worker re-indexes</t>
  </si>
  <si>
    <t>zero data loss: CRDB is authoritative</t>
  </si>
  <si>
    <t>RI break-even</t>
  </si>
  <si>
    <t>~7 months at 1-yr reserved discount</t>
  </si>
  <si>
    <t>commit Reserved after load stabilises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</si>
</sst>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;\-"/>
    <numFmt numFmtId="165" formatCode="\$#,##0.00;&quot;($&quot;#,##0.00\);\-"/>
    <numFmt numFmtId="166" formatCode="0.0%;\(0.0%\);\-"/>
    <numFmt numFmtId="167" formatCode="\$#,##0.00000;&quot;($&quot;#,##0.00000\);\-"/>
    <numFmt numFmtId="168" formatCode="#,##0;\(#,##0\);\-"/>
    <numFmt numFmtId="169" formatCode="\$#,##0;&quot;($&quot;#,##0\);\-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44546A"/>
      </patternFill>
    </fill>
    <fill>
      <patternFill patternType="solid">
        <fgColor rgb="FF2E75B6"/>
        <bgColor rgb="FF0066CC"/>
      </patternFill>
    </fill>
    <fill>
      <patternFill patternType="solid">
        <fgColor rgb="FFF0F7FF"/>
        <bgColor rgb="FFFFFFFF"/>
      </patternFill>
    </fill>
    <fill>
      <patternFill patternType="solid">
        <fgColor rgb="FFFFF2CC"/>
        <bgColor rgb="FFF0F7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3" borderId="1" xfId="0" applyFont="1" applyFill="1" applyBorder="1" applyAlignment="1">
      <alignment horizontal="left" vertical="center"/>
    </xf>
    <xf numFmtId="0" fontId="9" fillId="0" borderId="0" xfId="0" applyFont="1"/>
    <xf numFmtId="0" fontId="8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/>
    <xf numFmtId="0" fontId="7" fillId="0" borderId="0" xfId="0" applyFont="1"/>
    <xf numFmtId="0" fontId="0" fillId="0" borderId="0" xfId="0"/>
    <xf numFmtId="0" fontId="6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3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5" fillId="4" borderId="0" xfId="0" applyFont="1" applyFill="1" applyAlignment="1">
      <alignment horizontal="left" vertical="center"/>
    </xf>
    <xf numFmtId="165" fontId="3" fillId="4" borderId="0" xfId="0" applyNumberFormat="1" applyFont="1" applyFill="1"/>
    <xf numFmtId="165" fontId="5" fillId="4" borderId="0" xfId="0" applyNumberFormat="1" applyFont="1" applyFill="1"/>
    <xf numFmtId="166" fontId="5" fillId="4" borderId="0" xfId="0" applyNumberFormat="1" applyFont="1" applyFill="1"/>
    <xf numFmtId="165" fontId="2" fillId="5" borderId="1" xfId="0" applyNumberFormat="1" applyFont="1" applyFill="1" applyBorder="1"/>
    <xf numFmtId="166" fontId="2" fillId="5" borderId="0" xfId="0" applyNumberFormat="1" applyFont="1" applyFill="1"/>
    <xf numFmtId="165" fontId="2" fillId="0" borderId="0" xfId="0" applyNumberFormat="1" applyFont="1"/>
    <xf numFmtId="0" fontId="9" fillId="0" borderId="0" xfId="0" applyFont="1"/>
    <xf numFmtId="167" fontId="7" fillId="6" borderId="0" xfId="0" applyNumberFormat="1" applyFont="1" applyFill="1"/>
    <xf numFmtId="0" fontId="7" fillId="6" borderId="0" xfId="0" applyFont="1" applyFill="1"/>
    <xf numFmtId="164" fontId="7" fillId="6" borderId="0" xfId="0" applyNumberFormat="1" applyFont="1" applyFill="1"/>
    <xf numFmtId="168" fontId="5" fillId="0" borderId="0" xfId="0" applyNumberFormat="1" applyFont="1"/>
    <xf numFmtId="164" fontId="5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0" fontId="6" fillId="3" borderId="1" xfId="0" applyFont="1" applyFill="1" applyBorder="1" applyAlignment="1">
      <alignment horizontal="center" vertical="center"/>
    </xf>
    <xf numFmtId="168" fontId="7" fillId="6" borderId="0" xfId="0" applyNumberFormat="1" applyFont="1" applyFill="1"/>
    <xf numFmtId="169" fontId="5" fillId="0" borderId="0" xfId="0" applyNumberFormat="1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5959"/>
      <rgbColor rgb="FF9999FF"/>
      <rgbColor rgb="FF7030A0"/>
      <rgbColor rgb="FFFFF2CC"/>
      <rgbColor rgb="FFF0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44546A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28"/>
  <sheetViews>
    <sheetView zoomScale="170" zoomScaleNormal="170" workbookViewId="0">
      <pane ySplit="2" topLeftCell="A3" activePane="bottomLeft" state="frozen"/>
      <selection pane="bottomLeft" activeCell="H23" sqref="H23"/>
    </sheetView>
  </sheetViews>
  <sheetFormatPr baseColWidth="10" defaultColWidth="8.6640625" defaultRowHeight="15" x14ac:dyDescent="0.2"/>
  <cols>
    <col min="1" max="1" width="46" customWidth="1"/>
    <col min="2" max="3" width="16" customWidth="1"/>
    <col min="4" max="4" width="14" customWidth="1"/>
  </cols>
  <sheetData>
    <row r="1" spans="1:4" ht="24" customHeight="1" x14ac:dyDescent="0.2">
      <c r="A1" s="10" t="s">
        <v>0</v>
      </c>
      <c r="B1" s="10"/>
      <c r="C1" s="10"/>
      <c r="D1" s="10"/>
    </row>
    <row r="2" spans="1:4" x14ac:dyDescent="0.2">
      <c r="A2" s="11" t="s">
        <v>1</v>
      </c>
      <c r="B2" s="12" t="str">
        <f>Inputs!B5</f>
        <v>Document Search Service</v>
      </c>
    </row>
    <row r="3" spans="1:4" x14ac:dyDescent="0.2">
      <c r="A3" s="11" t="s">
        <v>2</v>
      </c>
      <c r="B3" s="12">
        <f>Inputs!B6</f>
        <v>500</v>
      </c>
    </row>
    <row r="4" spans="1:4" x14ac:dyDescent="0.2">
      <c r="A4" s="11" t="s">
        <v>3</v>
      </c>
      <c r="B4" s="12">
        <f>Inputs!B25</f>
        <v>100000000</v>
      </c>
    </row>
    <row r="5" spans="1:4" x14ac:dyDescent="0.2">
      <c r="A5" s="11" t="s">
        <v>4</v>
      </c>
      <c r="B5" s="12">
        <f>Inputs!B30</f>
        <v>1157.4074074074074</v>
      </c>
    </row>
    <row r="7" spans="1:4" x14ac:dyDescent="0.2">
      <c r="A7" s="13" t="s">
        <v>5</v>
      </c>
      <c r="B7" s="13" t="s">
        <v>6</v>
      </c>
      <c r="C7" s="13" t="s">
        <v>7</v>
      </c>
      <c r="D7" s="13" t="s">
        <v>8</v>
      </c>
    </row>
    <row r="8" spans="1:4" x14ac:dyDescent="0.2">
      <c r="A8" s="14" t="s">
        <v>9</v>
      </c>
      <c r="B8" s="15">
        <f>Compute!B25</f>
        <v>158.30178000000001</v>
      </c>
      <c r="C8" s="16">
        <f t="shared" ref="C8:C14" si="0">B8*12</f>
        <v>1899.6213600000001</v>
      </c>
      <c r="D8" s="17">
        <f>IFERROR(B8/B14,"-")</f>
        <v>7.5911501016074384E-2</v>
      </c>
    </row>
    <row r="9" spans="1:4" x14ac:dyDescent="0.2">
      <c r="A9" s="18" t="s">
        <v>10</v>
      </c>
      <c r="B9" s="19">
        <f>Storage!B34</f>
        <v>456.83114477539056</v>
      </c>
      <c r="C9" s="20">
        <f t="shared" si="0"/>
        <v>5481.9737373046864</v>
      </c>
      <c r="D9" s="21">
        <f>IFERROR(B9/B14,"-")</f>
        <v>0.21906726450448935</v>
      </c>
    </row>
    <row r="10" spans="1:4" x14ac:dyDescent="0.2">
      <c r="A10" s="14" t="s">
        <v>11</v>
      </c>
      <c r="B10" s="15">
        <f>Database!B26</f>
        <v>1166.5900000000001</v>
      </c>
      <c r="C10" s="16">
        <f t="shared" si="0"/>
        <v>13999.080000000002</v>
      </c>
      <c r="D10" s="17">
        <f>IFERROR(B10/B14,"-")</f>
        <v>0.5594226291728509</v>
      </c>
    </row>
    <row r="11" spans="1:4" x14ac:dyDescent="0.2">
      <c r="A11" s="18" t="s">
        <v>12</v>
      </c>
      <c r="B11" s="19">
        <f>Messaging!B13</f>
        <v>212.42999999999998</v>
      </c>
      <c r="C11" s="20">
        <f t="shared" si="0"/>
        <v>2549.16</v>
      </c>
      <c r="D11" s="21">
        <f>IFERROR(B11/B14,"-")</f>
        <v>0.10186796485070906</v>
      </c>
    </row>
    <row r="12" spans="1:4" x14ac:dyDescent="0.2">
      <c r="A12" s="14" t="s">
        <v>13</v>
      </c>
      <c r="B12" s="15">
        <f>Network!B38</f>
        <v>81.053536315917967</v>
      </c>
      <c r="C12" s="16">
        <f t="shared" si="0"/>
        <v>972.6424357910156</v>
      </c>
      <c r="D12" s="17">
        <f>IFERROR(B12/B14,"-")</f>
        <v>3.8868139097376089E-2</v>
      </c>
    </row>
    <row r="13" spans="1:4" x14ac:dyDescent="0.2">
      <c r="A13" s="18" t="s">
        <v>14</v>
      </c>
      <c r="B13" s="19">
        <f>DevOps!B24</f>
        <v>10.14</v>
      </c>
      <c r="C13" s="20">
        <f t="shared" si="0"/>
        <v>121.68</v>
      </c>
      <c r="D13" s="21">
        <f>IFERROR(B13/B14,"-")</f>
        <v>4.8625013585001653E-3</v>
      </c>
    </row>
    <row r="14" spans="1:4" x14ac:dyDescent="0.2">
      <c r="A14" s="22" t="s">
        <v>15</v>
      </c>
      <c r="B14" s="22">
        <f>SUM(B8:B13)</f>
        <v>2085.3464610913088</v>
      </c>
      <c r="C14" s="22">
        <f t="shared" si="0"/>
        <v>25024.157533095706</v>
      </c>
      <c r="D14" s="23" t="s">
        <v>16</v>
      </c>
    </row>
    <row r="16" spans="1:4" x14ac:dyDescent="0.2">
      <c r="A16" s="9" t="s">
        <v>17</v>
      </c>
      <c r="B16" s="9"/>
      <c r="C16" s="9"/>
      <c r="D16" s="9"/>
    </row>
    <row r="17" spans="1:4" x14ac:dyDescent="0.2">
      <c r="A17" s="13" t="s">
        <v>18</v>
      </c>
      <c r="B17" s="13" t="s">
        <v>19</v>
      </c>
      <c r="C17" s="13"/>
      <c r="D17" s="13"/>
    </row>
    <row r="18" spans="1:4" x14ac:dyDescent="0.2">
      <c r="A18" s="14" t="s">
        <v>20</v>
      </c>
      <c r="B18" s="24">
        <f>IFERROR(B14/Inputs!B6,"-")</f>
        <v>4.1706929221826172</v>
      </c>
      <c r="C18" s="8"/>
      <c r="D18" s="8"/>
    </row>
    <row r="19" spans="1:4" x14ac:dyDescent="0.2">
      <c r="A19" s="18" t="s">
        <v>21</v>
      </c>
      <c r="B19" s="24">
        <f>IFERROR(B14*12/Inputs!B6,"-")</f>
        <v>50.048315066191414</v>
      </c>
      <c r="C19" s="8"/>
      <c r="D19" s="8"/>
    </row>
    <row r="20" spans="1:4" x14ac:dyDescent="0.2">
      <c r="A20" s="14" t="s">
        <v>22</v>
      </c>
      <c r="B20" s="24">
        <f>IFERROR(B14/(Inputs!B26*30/1000000),"-")</f>
        <v>69.51154870304363</v>
      </c>
      <c r="C20" s="8"/>
      <c r="D20" s="8"/>
    </row>
    <row r="21" spans="1:4" x14ac:dyDescent="0.2">
      <c r="A21" s="18" t="s">
        <v>23</v>
      </c>
      <c r="B21" s="24">
        <f>IFERROR(B14/(Inputs!B27*30/1000000),"-")</f>
        <v>2780.4619481217451</v>
      </c>
      <c r="C21" s="8"/>
      <c r="D21" s="8"/>
    </row>
    <row r="22" spans="1:4" x14ac:dyDescent="0.2">
      <c r="A22" s="14" t="s">
        <v>24</v>
      </c>
      <c r="B22" s="24">
        <f>IFERROR(B14/Inputs!B32,"-")</f>
        <v>3.9757168196096004</v>
      </c>
      <c r="C22" s="8"/>
      <c r="D22" s="8"/>
    </row>
    <row r="24" spans="1:4" x14ac:dyDescent="0.2">
      <c r="A24" s="9" t="s">
        <v>25</v>
      </c>
      <c r="B24" s="9"/>
      <c r="C24" s="9"/>
      <c r="D24" s="9"/>
    </row>
    <row r="25" spans="1:4" x14ac:dyDescent="0.2">
      <c r="A25" s="7" t="s">
        <v>26</v>
      </c>
      <c r="B25" s="7"/>
      <c r="C25" s="7"/>
      <c r="D25" s="7"/>
    </row>
    <row r="26" spans="1:4" x14ac:dyDescent="0.2">
      <c r="A26" s="6" t="s">
        <v>27</v>
      </c>
      <c r="B26" s="6"/>
      <c r="C26" s="6"/>
      <c r="D26" s="6"/>
    </row>
    <row r="27" spans="1:4" x14ac:dyDescent="0.2">
      <c r="A27" s="5" t="s">
        <v>28</v>
      </c>
      <c r="B27" s="5"/>
      <c r="C27" s="5"/>
      <c r="D27" s="5"/>
    </row>
    <row r="28" spans="1:4" x14ac:dyDescent="0.2">
      <c r="A28" s="4" t="s">
        <v>29</v>
      </c>
      <c r="B28" s="4"/>
      <c r="C28" s="4"/>
      <c r="D28" s="4"/>
    </row>
  </sheetData>
  <mergeCells count="12">
    <mergeCell ref="A27:D27"/>
    <mergeCell ref="A28:D28"/>
    <mergeCell ref="C21:D21"/>
    <mergeCell ref="C22:D22"/>
    <mergeCell ref="A24:D24"/>
    <mergeCell ref="A25:D25"/>
    <mergeCell ref="A26:D26"/>
    <mergeCell ref="A1:D1"/>
    <mergeCell ref="A16:D16"/>
    <mergeCell ref="C18:D18"/>
    <mergeCell ref="C19:D19"/>
    <mergeCell ref="C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D58"/>
  <sheetViews>
    <sheetView zoomScaleNormal="100" workbookViewId="0">
      <pane ySplit="2" topLeftCell="A18" activePane="bottomLeft" state="frozen"/>
      <selection pane="bottomLeft" sqref="A1:D1"/>
    </sheetView>
  </sheetViews>
  <sheetFormatPr baseColWidth="10" defaultColWidth="8.6640625" defaultRowHeight="15" x14ac:dyDescent="0.2"/>
  <cols>
    <col min="1" max="1" width="40" customWidth="1"/>
    <col min="2" max="2" width="14" customWidth="1"/>
    <col min="3" max="3" width="22" customWidth="1"/>
    <col min="4" max="4" width="36" customWidth="1"/>
  </cols>
  <sheetData>
    <row r="1" spans="1:4" ht="19.5" customHeight="1" x14ac:dyDescent="0.2">
      <c r="A1" s="3" t="s">
        <v>30</v>
      </c>
      <c r="B1" s="3"/>
      <c r="C1" s="3"/>
      <c r="D1" s="3"/>
    </row>
    <row r="2" spans="1:4" x14ac:dyDescent="0.2">
      <c r="A2" s="2" t="s">
        <v>31</v>
      </c>
      <c r="B2" s="2"/>
      <c r="C2" s="2"/>
      <c r="D2" s="2"/>
    </row>
    <row r="3" spans="1:4" ht="15.75" customHeight="1" x14ac:dyDescent="0.2">
      <c r="A3" s="1" t="s">
        <v>32</v>
      </c>
      <c r="B3" s="1"/>
      <c r="C3" s="1"/>
      <c r="D3" s="1"/>
    </row>
    <row r="4" spans="1:4" x14ac:dyDescent="0.2">
      <c r="A4" s="13" t="s">
        <v>33</v>
      </c>
      <c r="B4" s="13" t="s">
        <v>34</v>
      </c>
      <c r="C4" s="13" t="s">
        <v>35</v>
      </c>
      <c r="D4" s="13" t="s">
        <v>36</v>
      </c>
    </row>
    <row r="5" spans="1:4" x14ac:dyDescent="0.2">
      <c r="A5" s="14" t="s">
        <v>37</v>
      </c>
      <c r="B5" s="26">
        <v>5.0560000000000001E-2</v>
      </c>
      <c r="C5" s="14" t="s">
        <v>38</v>
      </c>
      <c r="D5" s="25" t="s">
        <v>39</v>
      </c>
    </row>
    <row r="6" spans="1:4" x14ac:dyDescent="0.2">
      <c r="A6" s="18" t="s">
        <v>40</v>
      </c>
      <c r="B6" s="26">
        <v>5.5300000000000002E-3</v>
      </c>
      <c r="C6" s="14" t="s">
        <v>41</v>
      </c>
      <c r="D6" s="25" t="s">
        <v>39</v>
      </c>
    </row>
    <row r="8" spans="1:4" ht="15.75" customHeight="1" x14ac:dyDescent="0.2">
      <c r="A8" s="1" t="s">
        <v>42</v>
      </c>
      <c r="B8" s="1"/>
      <c r="C8" s="1"/>
      <c r="D8" s="1"/>
    </row>
    <row r="9" spans="1:4" x14ac:dyDescent="0.2">
      <c r="A9" s="13" t="s">
        <v>33</v>
      </c>
      <c r="B9" s="13" t="s">
        <v>34</v>
      </c>
      <c r="C9" s="13" t="s">
        <v>35</v>
      </c>
      <c r="D9" s="13" t="s">
        <v>36</v>
      </c>
    </row>
    <row r="10" spans="1:4" x14ac:dyDescent="0.2">
      <c r="A10" s="14" t="s">
        <v>43</v>
      </c>
      <c r="B10" s="26">
        <v>2.5000000000000001E-2</v>
      </c>
      <c r="C10" s="14" t="s">
        <v>44</v>
      </c>
      <c r="D10" s="25" t="s">
        <v>45</v>
      </c>
    </row>
    <row r="11" spans="1:4" x14ac:dyDescent="0.2">
      <c r="A11" s="18" t="s">
        <v>46</v>
      </c>
      <c r="B11" s="26">
        <v>1.38E-2</v>
      </c>
      <c r="C11" s="14" t="s">
        <v>44</v>
      </c>
      <c r="D11" s="25" t="s">
        <v>47</v>
      </c>
    </row>
    <row r="12" spans="1:4" x14ac:dyDescent="0.2">
      <c r="A12" s="14" t="s">
        <v>48</v>
      </c>
      <c r="B12" s="26">
        <v>5.0000000000000001E-3</v>
      </c>
      <c r="C12" s="14" t="s">
        <v>44</v>
      </c>
      <c r="D12" s="25" t="s">
        <v>49</v>
      </c>
    </row>
    <row r="13" spans="1:4" x14ac:dyDescent="0.2">
      <c r="A13" s="18" t="s">
        <v>50</v>
      </c>
      <c r="B13" s="26">
        <v>5.0000000000000001E-3</v>
      </c>
      <c r="C13" s="14" t="s">
        <v>51</v>
      </c>
      <c r="D13" s="25"/>
    </row>
    <row r="14" spans="1:4" x14ac:dyDescent="0.2">
      <c r="A14" s="14" t="s">
        <v>52</v>
      </c>
      <c r="B14" s="26">
        <v>4.0000000000000002E-4</v>
      </c>
      <c r="C14" s="14" t="s">
        <v>51</v>
      </c>
      <c r="D14" s="25"/>
    </row>
    <row r="15" spans="1:4" x14ac:dyDescent="0.2">
      <c r="A15" s="18" t="s">
        <v>53</v>
      </c>
      <c r="B15" s="26">
        <v>9.2399999999999996E-2</v>
      </c>
      <c r="C15" s="14" t="s">
        <v>44</v>
      </c>
      <c r="D15" s="25" t="s">
        <v>54</v>
      </c>
    </row>
    <row r="16" spans="1:4" x14ac:dyDescent="0.2">
      <c r="A16" s="14" t="s">
        <v>55</v>
      </c>
      <c r="B16" s="26">
        <v>0.1</v>
      </c>
      <c r="C16" s="14" t="s">
        <v>44</v>
      </c>
      <c r="D16" s="25" t="s">
        <v>56</v>
      </c>
    </row>
    <row r="18" spans="1:4" ht="15.75" customHeight="1" x14ac:dyDescent="0.2">
      <c r="A18" s="1" t="s">
        <v>57</v>
      </c>
      <c r="B18" s="1"/>
      <c r="C18" s="1"/>
      <c r="D18" s="1"/>
    </row>
    <row r="19" spans="1:4" x14ac:dyDescent="0.2">
      <c r="A19" s="13" t="s">
        <v>33</v>
      </c>
      <c r="B19" s="13" t="s">
        <v>34</v>
      </c>
      <c r="C19" s="13" t="s">
        <v>35</v>
      </c>
      <c r="D19" s="13" t="s">
        <v>36</v>
      </c>
    </row>
    <row r="20" spans="1:4" x14ac:dyDescent="0.2">
      <c r="A20" s="14" t="s">
        <v>58</v>
      </c>
      <c r="B20" s="26">
        <v>0.34799999999999998</v>
      </c>
      <c r="C20" s="14" t="s">
        <v>59</v>
      </c>
      <c r="D20" s="25" t="s">
        <v>60</v>
      </c>
    </row>
    <row r="21" spans="1:4" x14ac:dyDescent="0.2">
      <c r="A21" s="18" t="s">
        <v>61</v>
      </c>
      <c r="B21" s="26">
        <v>0.69599999999999995</v>
      </c>
      <c r="C21" s="14" t="s">
        <v>59</v>
      </c>
      <c r="D21" s="25" t="s">
        <v>60</v>
      </c>
    </row>
    <row r="22" spans="1:4" x14ac:dyDescent="0.2">
      <c r="A22" s="14" t="s">
        <v>62</v>
      </c>
      <c r="B22" s="26">
        <v>0.11</v>
      </c>
      <c r="C22" s="14" t="s">
        <v>44</v>
      </c>
      <c r="D22" s="25"/>
    </row>
    <row r="23" spans="1:4" x14ac:dyDescent="0.2">
      <c r="A23" s="18" t="s">
        <v>63</v>
      </c>
      <c r="B23" s="26">
        <v>0.22</v>
      </c>
      <c r="C23" s="14" t="s">
        <v>64</v>
      </c>
      <c r="D23" s="25"/>
    </row>
    <row r="25" spans="1:4" ht="15.75" customHeight="1" x14ac:dyDescent="0.2">
      <c r="A25" s="1" t="s">
        <v>65</v>
      </c>
      <c r="B25" s="1"/>
      <c r="C25" s="1"/>
      <c r="D25" s="1"/>
    </row>
    <row r="26" spans="1:4" x14ac:dyDescent="0.2">
      <c r="A26" s="13" t="s">
        <v>33</v>
      </c>
      <c r="B26" s="13" t="s">
        <v>34</v>
      </c>
      <c r="C26" s="13" t="s">
        <v>35</v>
      </c>
      <c r="D26" s="13" t="s">
        <v>36</v>
      </c>
    </row>
    <row r="27" spans="1:4" x14ac:dyDescent="0.2">
      <c r="A27" s="14" t="s">
        <v>66</v>
      </c>
      <c r="B27" s="26">
        <v>0.27300000000000002</v>
      </c>
      <c r="C27" s="14" t="s">
        <v>59</v>
      </c>
      <c r="D27" s="25" t="s">
        <v>60</v>
      </c>
    </row>
    <row r="28" spans="1:4" x14ac:dyDescent="0.2">
      <c r="A28" s="18" t="s">
        <v>67</v>
      </c>
      <c r="B28" s="26">
        <v>0.54600000000000004</v>
      </c>
      <c r="C28" s="14" t="s">
        <v>59</v>
      </c>
      <c r="D28" s="25" t="s">
        <v>60</v>
      </c>
    </row>
    <row r="30" spans="1:4" ht="15.75" customHeight="1" x14ac:dyDescent="0.2">
      <c r="A30" s="1" t="s">
        <v>68</v>
      </c>
      <c r="B30" s="1"/>
      <c r="C30" s="1"/>
      <c r="D30" s="1"/>
    </row>
    <row r="31" spans="1:4" x14ac:dyDescent="0.2">
      <c r="A31" s="13" t="s">
        <v>33</v>
      </c>
      <c r="B31" s="13" t="s">
        <v>34</v>
      </c>
      <c r="C31" s="13" t="s">
        <v>35</v>
      </c>
      <c r="D31" s="13" t="s">
        <v>36</v>
      </c>
    </row>
    <row r="32" spans="1:4" x14ac:dyDescent="0.2">
      <c r="A32" s="14" t="s">
        <v>69</v>
      </c>
      <c r="B32" s="26">
        <v>0.17299999999999999</v>
      </c>
      <c r="C32" s="14" t="s">
        <v>59</v>
      </c>
      <c r="D32" s="25" t="s">
        <v>70</v>
      </c>
    </row>
    <row r="33" spans="1:4" x14ac:dyDescent="0.2">
      <c r="A33" s="18" t="s">
        <v>71</v>
      </c>
      <c r="B33" s="26">
        <v>0.34599999999999997</v>
      </c>
      <c r="C33" s="14" t="s">
        <v>59</v>
      </c>
      <c r="D33" s="25" t="s">
        <v>70</v>
      </c>
    </row>
    <row r="35" spans="1:4" ht="15.75" customHeight="1" x14ac:dyDescent="0.2">
      <c r="A35" s="1" t="s">
        <v>72</v>
      </c>
      <c r="B35" s="1"/>
      <c r="C35" s="1"/>
      <c r="D35" s="1"/>
    </row>
    <row r="36" spans="1:4" x14ac:dyDescent="0.2">
      <c r="A36" s="13" t="s">
        <v>33</v>
      </c>
      <c r="B36" s="13" t="s">
        <v>34</v>
      </c>
      <c r="C36" s="13" t="s">
        <v>35</v>
      </c>
      <c r="D36" s="13" t="s">
        <v>36</v>
      </c>
    </row>
    <row r="37" spans="1:4" x14ac:dyDescent="0.2">
      <c r="A37" s="14" t="s">
        <v>73</v>
      </c>
      <c r="B37" s="26">
        <v>0.29099999999999998</v>
      </c>
      <c r="C37" s="14" t="s">
        <v>59</v>
      </c>
      <c r="D37" s="25" t="s">
        <v>74</v>
      </c>
    </row>
    <row r="38" spans="1:4" x14ac:dyDescent="0.2">
      <c r="A38" s="18" t="s">
        <v>75</v>
      </c>
      <c r="B38" s="26">
        <v>0.58199999999999996</v>
      </c>
      <c r="C38" s="14" t="s">
        <v>59</v>
      </c>
      <c r="D38" s="25" t="s">
        <v>74</v>
      </c>
    </row>
    <row r="40" spans="1:4" ht="15.75" customHeight="1" x14ac:dyDescent="0.2">
      <c r="A40" s="1" t="s">
        <v>76</v>
      </c>
      <c r="B40" s="1"/>
      <c r="C40" s="1"/>
      <c r="D40" s="1"/>
    </row>
    <row r="41" spans="1:4" x14ac:dyDescent="0.2">
      <c r="A41" s="13" t="s">
        <v>33</v>
      </c>
      <c r="B41" s="13" t="s">
        <v>34</v>
      </c>
      <c r="C41" s="13" t="s">
        <v>35</v>
      </c>
      <c r="D41" s="13" t="s">
        <v>36</v>
      </c>
    </row>
    <row r="42" spans="1:4" x14ac:dyDescent="0.2">
      <c r="A42" s="14" t="s">
        <v>77</v>
      </c>
      <c r="B42" s="26">
        <v>0.10929999999999999</v>
      </c>
      <c r="C42" s="14" t="s">
        <v>78</v>
      </c>
      <c r="D42" s="25" t="s">
        <v>79</v>
      </c>
    </row>
    <row r="43" spans="1:4" x14ac:dyDescent="0.2">
      <c r="A43" s="18" t="s">
        <v>80</v>
      </c>
      <c r="B43" s="26">
        <v>0.02</v>
      </c>
      <c r="C43" s="14" t="s">
        <v>78</v>
      </c>
      <c r="D43" s="25"/>
    </row>
    <row r="44" spans="1:4" x14ac:dyDescent="0.2">
      <c r="A44" s="14" t="s">
        <v>81</v>
      </c>
      <c r="B44" s="26">
        <v>2.52E-2</v>
      </c>
      <c r="C44" s="14" t="s">
        <v>59</v>
      </c>
      <c r="D44" s="25" t="s">
        <v>82</v>
      </c>
    </row>
    <row r="45" spans="1:4" x14ac:dyDescent="0.2">
      <c r="A45" s="18" t="s">
        <v>83</v>
      </c>
      <c r="B45" s="26">
        <v>8.0000000000000002E-3</v>
      </c>
      <c r="C45" s="14" t="s">
        <v>84</v>
      </c>
      <c r="D45" s="25"/>
    </row>
    <row r="46" spans="1:4" x14ac:dyDescent="0.2">
      <c r="A46" s="14" t="s">
        <v>85</v>
      </c>
      <c r="B46" s="26">
        <v>0.5</v>
      </c>
      <c r="C46" s="14" t="s">
        <v>86</v>
      </c>
      <c r="D46" s="25"/>
    </row>
    <row r="47" spans="1:4" x14ac:dyDescent="0.2">
      <c r="A47" s="18" t="s">
        <v>87</v>
      </c>
      <c r="B47" s="26">
        <v>0.4</v>
      </c>
      <c r="C47" s="14" t="s">
        <v>88</v>
      </c>
      <c r="D47" s="25"/>
    </row>
    <row r="48" spans="1:4" x14ac:dyDescent="0.2">
      <c r="A48" s="14" t="s">
        <v>89</v>
      </c>
      <c r="B48" s="26">
        <v>5</v>
      </c>
      <c r="C48" s="14" t="s">
        <v>90</v>
      </c>
      <c r="D48" s="25"/>
    </row>
    <row r="49" spans="1:4" x14ac:dyDescent="0.2">
      <c r="A49" s="18" t="s">
        <v>91</v>
      </c>
      <c r="B49" s="26">
        <v>1</v>
      </c>
      <c r="C49" s="14" t="s">
        <v>92</v>
      </c>
      <c r="D49" s="25"/>
    </row>
    <row r="50" spans="1:4" x14ac:dyDescent="0.2">
      <c r="A50" s="14" t="s">
        <v>93</v>
      </c>
      <c r="B50" s="26">
        <v>0.6</v>
      </c>
      <c r="C50" s="14" t="s">
        <v>64</v>
      </c>
      <c r="D50" s="25"/>
    </row>
    <row r="52" spans="1:4" ht="15.75" customHeight="1" x14ac:dyDescent="0.2">
      <c r="A52" s="1" t="s">
        <v>94</v>
      </c>
      <c r="B52" s="1"/>
      <c r="C52" s="1"/>
      <c r="D52" s="1"/>
    </row>
    <row r="53" spans="1:4" x14ac:dyDescent="0.2">
      <c r="A53" s="13" t="s">
        <v>33</v>
      </c>
      <c r="B53" s="13" t="s">
        <v>34</v>
      </c>
      <c r="C53" s="13" t="s">
        <v>35</v>
      </c>
      <c r="D53" s="13" t="s">
        <v>36</v>
      </c>
    </row>
    <row r="54" spans="1:4" x14ac:dyDescent="0.2">
      <c r="A54" s="14" t="s">
        <v>95</v>
      </c>
      <c r="B54" s="26">
        <v>1</v>
      </c>
      <c r="C54" s="14" t="s">
        <v>96</v>
      </c>
      <c r="D54" s="25" t="s">
        <v>97</v>
      </c>
    </row>
    <row r="55" spans="1:4" x14ac:dyDescent="0.2">
      <c r="A55" s="18" t="s">
        <v>98</v>
      </c>
      <c r="B55" s="26">
        <v>5.0000000000000001E-3</v>
      </c>
      <c r="C55" s="14" t="s">
        <v>99</v>
      </c>
      <c r="D55" s="25" t="s">
        <v>100</v>
      </c>
    </row>
    <row r="56" spans="1:4" x14ac:dyDescent="0.2">
      <c r="A56" s="14" t="s">
        <v>101</v>
      </c>
      <c r="B56" s="26">
        <v>0.3</v>
      </c>
      <c r="C56" s="14" t="s">
        <v>102</v>
      </c>
      <c r="D56" s="25" t="s">
        <v>103</v>
      </c>
    </row>
    <row r="57" spans="1:4" x14ac:dyDescent="0.2">
      <c r="A57" s="18" t="s">
        <v>104</v>
      </c>
      <c r="B57" s="26">
        <v>0.56999999999999995</v>
      </c>
      <c r="C57" s="14" t="s">
        <v>105</v>
      </c>
      <c r="D57" s="25"/>
    </row>
    <row r="58" spans="1:4" x14ac:dyDescent="0.2">
      <c r="A58" s="14" t="s">
        <v>106</v>
      </c>
      <c r="B58" s="26">
        <v>0.1</v>
      </c>
      <c r="C58" s="14" t="s">
        <v>107</v>
      </c>
      <c r="D58" s="25" t="s">
        <v>108</v>
      </c>
    </row>
  </sheetData>
  <mergeCells count="10">
    <mergeCell ref="A25:D25"/>
    <mergeCell ref="A30:D30"/>
    <mergeCell ref="A35:D35"/>
    <mergeCell ref="A40:D40"/>
    <mergeCell ref="A52:D52"/>
    <mergeCell ref="A1:D1"/>
    <mergeCell ref="A2:D2"/>
    <mergeCell ref="A3:D3"/>
    <mergeCell ref="A8:D8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D39"/>
  <sheetViews>
    <sheetView tabSelected="1" zoomScale="130" zoomScaleNormal="130" workbookViewId="0">
      <pane ySplit="2" topLeftCell="A3" activePane="bottomLeft" state="frozen"/>
      <selection pane="bottomLeft" activeCell="D8" sqref="D8"/>
    </sheetView>
  </sheetViews>
  <sheetFormatPr baseColWidth="10" defaultColWidth="8.6640625" defaultRowHeight="15" x14ac:dyDescent="0.2"/>
  <cols>
    <col min="1" max="1" width="36" customWidth="1"/>
    <col min="2" max="2" width="18" customWidth="1"/>
    <col min="3" max="3" width="14" customWidth="1"/>
    <col min="4" max="4" width="40" customWidth="1"/>
  </cols>
  <sheetData>
    <row r="1" spans="1:4" ht="19.5" customHeight="1" x14ac:dyDescent="0.2">
      <c r="A1" s="3" t="s">
        <v>109</v>
      </c>
      <c r="B1" s="3"/>
      <c r="C1" s="3"/>
      <c r="D1" s="3"/>
    </row>
    <row r="3" spans="1:4" ht="15.75" customHeight="1" x14ac:dyDescent="0.2">
      <c r="A3" s="1" t="s">
        <v>110</v>
      </c>
      <c r="B3" s="1"/>
      <c r="C3" s="1"/>
      <c r="D3" s="1"/>
    </row>
    <row r="4" spans="1:4" x14ac:dyDescent="0.2">
      <c r="A4" s="13" t="s">
        <v>111</v>
      </c>
      <c r="B4" s="13" t="s">
        <v>19</v>
      </c>
      <c r="C4" s="13" t="s">
        <v>35</v>
      </c>
      <c r="D4" s="13" t="s">
        <v>36</v>
      </c>
    </row>
    <row r="5" spans="1:4" x14ac:dyDescent="0.2">
      <c r="A5" s="14" t="s">
        <v>112</v>
      </c>
      <c r="B5" s="27" t="s">
        <v>113</v>
      </c>
      <c r="C5" s="14"/>
      <c r="D5" s="25" t="s">
        <v>114</v>
      </c>
    </row>
    <row r="6" spans="1:4" x14ac:dyDescent="0.2">
      <c r="A6" s="18" t="s">
        <v>115</v>
      </c>
      <c r="B6" s="27">
        <v>500</v>
      </c>
      <c r="C6" s="14" t="s">
        <v>116</v>
      </c>
      <c r="D6" s="25" t="s">
        <v>117</v>
      </c>
    </row>
    <row r="7" spans="1:4" x14ac:dyDescent="0.2">
      <c r="A7" s="14" t="s">
        <v>118</v>
      </c>
      <c r="B7" s="27">
        <v>200000</v>
      </c>
      <c r="C7" s="14" t="s">
        <v>119</v>
      </c>
      <c r="D7" s="25" t="s">
        <v>120</v>
      </c>
    </row>
    <row r="8" spans="1:4" x14ac:dyDescent="0.2">
      <c r="A8" s="18" t="s">
        <v>121</v>
      </c>
      <c r="B8" s="27">
        <v>5</v>
      </c>
      <c r="C8" s="14" t="s">
        <v>122</v>
      </c>
      <c r="D8" s="25" t="s">
        <v>123</v>
      </c>
    </row>
    <row r="9" spans="1:4" x14ac:dyDescent="0.2">
      <c r="A9" s="14" t="s">
        <v>124</v>
      </c>
      <c r="B9" s="27">
        <v>0.5</v>
      </c>
      <c r="C9" s="14" t="s">
        <v>122</v>
      </c>
      <c r="D9" s="25" t="s">
        <v>125</v>
      </c>
    </row>
    <row r="10" spans="1:4" x14ac:dyDescent="0.2">
      <c r="A10" s="18" t="s">
        <v>126</v>
      </c>
      <c r="B10" s="27">
        <v>2000</v>
      </c>
      <c r="C10" s="14" t="s">
        <v>127</v>
      </c>
      <c r="D10" s="25" t="s">
        <v>128</v>
      </c>
    </row>
    <row r="11" spans="1:4" x14ac:dyDescent="0.2">
      <c r="A11" s="14" t="s">
        <v>129</v>
      </c>
      <c r="B11" s="27">
        <v>50</v>
      </c>
      <c r="C11" s="14" t="s">
        <v>119</v>
      </c>
      <c r="D11" s="25" t="s">
        <v>130</v>
      </c>
    </row>
    <row r="12" spans="1:4" x14ac:dyDescent="0.2">
      <c r="A12" s="18" t="s">
        <v>131</v>
      </c>
      <c r="B12" s="27">
        <v>0.05</v>
      </c>
      <c r="C12" s="14" t="s">
        <v>132</v>
      </c>
      <c r="D12" s="25" t="s">
        <v>133</v>
      </c>
    </row>
    <row r="13" spans="1:4" x14ac:dyDescent="0.2">
      <c r="A13" s="14" t="s">
        <v>134</v>
      </c>
      <c r="B13" s="27">
        <v>500</v>
      </c>
      <c r="C13" s="14" t="s">
        <v>122</v>
      </c>
      <c r="D13" s="25" t="s">
        <v>135</v>
      </c>
    </row>
    <row r="14" spans="1:4" x14ac:dyDescent="0.2">
      <c r="A14" s="18" t="s">
        <v>136</v>
      </c>
      <c r="B14" s="27">
        <v>365</v>
      </c>
      <c r="C14" s="14" t="s">
        <v>137</v>
      </c>
      <c r="D14" s="25" t="s">
        <v>138</v>
      </c>
    </row>
    <row r="16" spans="1:4" ht="15.75" customHeight="1" x14ac:dyDescent="0.2">
      <c r="A16" s="1" t="s">
        <v>139</v>
      </c>
      <c r="B16" s="1"/>
      <c r="C16" s="1"/>
      <c r="D16" s="1"/>
    </row>
    <row r="17" spans="1:4" x14ac:dyDescent="0.2">
      <c r="A17" s="13" t="s">
        <v>140</v>
      </c>
      <c r="B17" s="13" t="s">
        <v>19</v>
      </c>
      <c r="C17" s="13" t="s">
        <v>35</v>
      </c>
      <c r="D17" s="13" t="s">
        <v>36</v>
      </c>
    </row>
    <row r="18" spans="1:4" x14ac:dyDescent="0.2">
      <c r="A18" s="14" t="s">
        <v>141</v>
      </c>
      <c r="B18" s="27">
        <v>100</v>
      </c>
      <c r="C18" s="14" t="s">
        <v>142</v>
      </c>
      <c r="D18" s="25" t="s">
        <v>143</v>
      </c>
    </row>
    <row r="19" spans="1:4" x14ac:dyDescent="0.2">
      <c r="A19" s="18" t="s">
        <v>144</v>
      </c>
      <c r="B19" s="28">
        <v>0.7</v>
      </c>
      <c r="C19" s="14" t="s">
        <v>132</v>
      </c>
      <c r="D19" s="25" t="s">
        <v>145</v>
      </c>
    </row>
    <row r="20" spans="1:4" x14ac:dyDescent="0.2">
      <c r="A20" s="14" t="s">
        <v>146</v>
      </c>
      <c r="B20" s="27">
        <v>3</v>
      </c>
      <c r="C20" s="14" t="s">
        <v>142</v>
      </c>
      <c r="D20" s="25" t="s">
        <v>147</v>
      </c>
    </row>
    <row r="21" spans="1:4" x14ac:dyDescent="0.2">
      <c r="A21" s="18" t="s">
        <v>148</v>
      </c>
      <c r="B21" s="27">
        <v>2</v>
      </c>
      <c r="C21" s="14" t="s">
        <v>142</v>
      </c>
      <c r="D21" s="25" t="s">
        <v>149</v>
      </c>
    </row>
    <row r="23" spans="1:4" ht="15.75" customHeight="1" x14ac:dyDescent="0.2">
      <c r="A23" s="1" t="s">
        <v>150</v>
      </c>
      <c r="B23" s="1"/>
      <c r="C23" s="1"/>
      <c r="D23" s="1"/>
    </row>
    <row r="24" spans="1:4" x14ac:dyDescent="0.2">
      <c r="A24" s="13" t="s">
        <v>18</v>
      </c>
      <c r="B24" s="13" t="s">
        <v>19</v>
      </c>
      <c r="C24" s="13" t="s">
        <v>35</v>
      </c>
      <c r="D24" s="13" t="s">
        <v>151</v>
      </c>
    </row>
    <row r="25" spans="1:4" x14ac:dyDescent="0.2">
      <c r="A25" s="14" t="s">
        <v>152</v>
      </c>
      <c r="B25" s="29">
        <f>B6*B7</f>
        <v>100000000</v>
      </c>
      <c r="C25" s="14" t="s">
        <v>119</v>
      </c>
      <c r="D25" s="25" t="s">
        <v>153</v>
      </c>
    </row>
    <row r="26" spans="1:4" x14ac:dyDescent="0.2">
      <c r="A26" s="18" t="s">
        <v>154</v>
      </c>
      <c r="B26" s="29">
        <f>B6*B10</f>
        <v>1000000</v>
      </c>
      <c r="C26" s="14" t="s">
        <v>155</v>
      </c>
      <c r="D26" s="25" t="s">
        <v>156</v>
      </c>
    </row>
    <row r="27" spans="1:4" x14ac:dyDescent="0.2">
      <c r="A27" s="14" t="s">
        <v>157</v>
      </c>
      <c r="B27" s="30">
        <f>B6*B11</f>
        <v>25000</v>
      </c>
      <c r="C27" s="14" t="s">
        <v>158</v>
      </c>
      <c r="D27" s="25" t="s">
        <v>159</v>
      </c>
    </row>
    <row r="28" spans="1:4" x14ac:dyDescent="0.2">
      <c r="A28" s="18" t="s">
        <v>160</v>
      </c>
      <c r="B28" s="30">
        <f>B26/86400</f>
        <v>11.574074074074074</v>
      </c>
      <c r="C28" s="14" t="s">
        <v>161</v>
      </c>
      <c r="D28" s="25" t="s">
        <v>162</v>
      </c>
    </row>
    <row r="29" spans="1:4" x14ac:dyDescent="0.2">
      <c r="A29" s="14" t="s">
        <v>163</v>
      </c>
      <c r="B29" s="30">
        <f>B27/86400</f>
        <v>0.28935185185185186</v>
      </c>
      <c r="C29" s="14" t="s">
        <v>161</v>
      </c>
      <c r="D29" s="25" t="s">
        <v>164</v>
      </c>
    </row>
    <row r="30" spans="1:4" x14ac:dyDescent="0.2">
      <c r="A30" s="18" t="s">
        <v>165</v>
      </c>
      <c r="B30" s="30">
        <f>B28*B18</f>
        <v>1157.4074074074074</v>
      </c>
      <c r="C30" s="14" t="s">
        <v>161</v>
      </c>
      <c r="D30" s="25" t="s">
        <v>166</v>
      </c>
    </row>
    <row r="31" spans="1:4" x14ac:dyDescent="0.2">
      <c r="A31" s="14" t="s">
        <v>167</v>
      </c>
      <c r="B31" s="30">
        <f>B29*B18</f>
        <v>28.935185185185187</v>
      </c>
      <c r="C31" s="14" t="s">
        <v>161</v>
      </c>
      <c r="D31" s="25" t="s">
        <v>166</v>
      </c>
    </row>
    <row r="32" spans="1:4" x14ac:dyDescent="0.2">
      <c r="A32" s="18" t="s">
        <v>168</v>
      </c>
      <c r="B32" s="30">
        <f>B6*B7*(B8+B9)/1024/1024</f>
        <v>524.5208740234375</v>
      </c>
      <c r="C32" s="14" t="s">
        <v>169</v>
      </c>
      <c r="D32" s="25" t="s">
        <v>170</v>
      </c>
    </row>
    <row r="33" spans="1:4" x14ac:dyDescent="0.2">
      <c r="A33" s="14" t="s">
        <v>171</v>
      </c>
      <c r="B33" s="30">
        <f>B32+B6*B7*B12*B13/1024/1024</f>
        <v>2908.7066650390625</v>
      </c>
      <c r="C33" s="14" t="s">
        <v>169</v>
      </c>
      <c r="D33" s="25" t="s">
        <v>172</v>
      </c>
    </row>
    <row r="34" spans="1:4" x14ac:dyDescent="0.2">
      <c r="A34" s="18" t="s">
        <v>173</v>
      </c>
      <c r="B34" s="30">
        <f>B32*B20</f>
        <v>1573.5626220703125</v>
      </c>
      <c r="C34" s="14" t="s">
        <v>169</v>
      </c>
      <c r="D34" s="25" t="s">
        <v>174</v>
      </c>
    </row>
    <row r="35" spans="1:4" x14ac:dyDescent="0.2">
      <c r="A35" s="14" t="s">
        <v>175</v>
      </c>
      <c r="B35" s="30">
        <f>B32*2</f>
        <v>1049.041748046875</v>
      </c>
      <c r="C35" s="14" t="s">
        <v>169</v>
      </c>
      <c r="D35" s="25" t="s">
        <v>176</v>
      </c>
    </row>
    <row r="36" spans="1:4" x14ac:dyDescent="0.2">
      <c r="A36" s="18" t="s">
        <v>177</v>
      </c>
      <c r="B36" s="30">
        <f>B35*2</f>
        <v>2098.08349609375</v>
      </c>
      <c r="C36" s="14" t="s">
        <v>169</v>
      </c>
      <c r="D36" s="25" t="s">
        <v>178</v>
      </c>
    </row>
    <row r="37" spans="1:4" x14ac:dyDescent="0.2">
      <c r="A37" s="14" t="s">
        <v>179</v>
      </c>
      <c r="B37" s="30">
        <f>B28*86400*30*5/1024/1024</f>
        <v>143.0511474609375</v>
      </c>
      <c r="C37" s="14" t="s">
        <v>180</v>
      </c>
      <c r="D37" s="25" t="s">
        <v>181</v>
      </c>
    </row>
    <row r="38" spans="1:4" x14ac:dyDescent="0.2">
      <c r="A38" s="18" t="s">
        <v>182</v>
      </c>
      <c r="B38" s="30">
        <f>B27*30</f>
        <v>750000</v>
      </c>
      <c r="C38" s="14" t="s">
        <v>183</v>
      </c>
      <c r="D38" s="25" t="s">
        <v>184</v>
      </c>
    </row>
    <row r="39" spans="1:4" x14ac:dyDescent="0.2">
      <c r="A39" s="14" t="s">
        <v>185</v>
      </c>
      <c r="B39" s="30">
        <f>B37*B21</f>
        <v>286.102294921875</v>
      </c>
      <c r="C39" s="14" t="s">
        <v>180</v>
      </c>
      <c r="D39" s="25" t="s">
        <v>186</v>
      </c>
    </row>
  </sheetData>
  <mergeCells count="4">
    <mergeCell ref="A1:D1"/>
    <mergeCell ref="A3:D3"/>
    <mergeCell ref="A16:D16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D25"/>
  <sheetViews>
    <sheetView zoomScale="136" zoomScaleNormal="100" workbookViewId="0">
      <pane ySplit="2" topLeftCell="A3" activePane="bottomLeft" state="frozen"/>
      <selection pane="bottomLeft" activeCell="F23" sqref="F23"/>
    </sheetView>
  </sheetViews>
  <sheetFormatPr baseColWidth="10" defaultColWidth="8.6640625" defaultRowHeight="15" x14ac:dyDescent="0.2"/>
  <cols>
    <col min="1" max="1" width="36" customWidth="1"/>
    <col min="2" max="2" width="16" customWidth="1"/>
    <col min="3" max="3" width="14" customWidth="1"/>
    <col min="4" max="4" width="40" customWidth="1"/>
  </cols>
  <sheetData>
    <row r="1" spans="1:4" ht="19.5" customHeight="1" x14ac:dyDescent="0.2">
      <c r="A1" s="3" t="s">
        <v>187</v>
      </c>
      <c r="B1" s="3"/>
      <c r="C1" s="3"/>
      <c r="D1" s="3"/>
    </row>
    <row r="3" spans="1:4" ht="15.75" customHeight="1" x14ac:dyDescent="0.2">
      <c r="A3" s="1" t="s">
        <v>188</v>
      </c>
      <c r="B3" s="1"/>
      <c r="C3" s="1"/>
      <c r="D3" s="1"/>
    </row>
    <row r="4" spans="1:4" x14ac:dyDescent="0.2">
      <c r="A4" s="13" t="s">
        <v>111</v>
      </c>
      <c r="B4" s="13" t="s">
        <v>19</v>
      </c>
      <c r="C4" s="13" t="s">
        <v>35</v>
      </c>
      <c r="D4" s="13" t="s">
        <v>36</v>
      </c>
    </row>
    <row r="5" spans="1:4" x14ac:dyDescent="0.2">
      <c r="A5" s="14" t="s">
        <v>189</v>
      </c>
      <c r="B5" s="27">
        <v>1</v>
      </c>
      <c r="C5" s="14" t="s">
        <v>190</v>
      </c>
      <c r="D5" s="25" t="s">
        <v>191</v>
      </c>
    </row>
    <row r="6" spans="1:4" x14ac:dyDescent="0.2">
      <c r="A6" s="14" t="s">
        <v>192</v>
      </c>
      <c r="B6" s="27">
        <v>2</v>
      </c>
      <c r="C6" s="14" t="s">
        <v>169</v>
      </c>
      <c r="D6" s="25" t="s">
        <v>193</v>
      </c>
    </row>
    <row r="7" spans="1:4" x14ac:dyDescent="0.2">
      <c r="A7" s="14" t="s">
        <v>194</v>
      </c>
      <c r="B7" s="27">
        <v>3</v>
      </c>
      <c r="C7" s="14" t="s">
        <v>195</v>
      </c>
      <c r="D7" s="25" t="s">
        <v>196</v>
      </c>
    </row>
    <row r="8" spans="1:4" x14ac:dyDescent="0.2">
      <c r="A8" s="14" t="s">
        <v>197</v>
      </c>
      <c r="B8" s="27">
        <v>730</v>
      </c>
      <c r="C8" s="14" t="s">
        <v>198</v>
      </c>
      <c r="D8" s="25" t="s">
        <v>199</v>
      </c>
    </row>
    <row r="9" spans="1:4" x14ac:dyDescent="0.2">
      <c r="A9" s="14" t="s">
        <v>200</v>
      </c>
      <c r="B9" s="31">
        <f>Pricing!B5</f>
        <v>5.0560000000000001E-2</v>
      </c>
      <c r="C9" s="14" t="s">
        <v>201</v>
      </c>
      <c r="D9" s="25" t="s">
        <v>202</v>
      </c>
    </row>
    <row r="10" spans="1:4" x14ac:dyDescent="0.2">
      <c r="A10" s="14" t="s">
        <v>203</v>
      </c>
      <c r="B10" s="31">
        <f>Pricing!B6</f>
        <v>5.5300000000000002E-3</v>
      </c>
      <c r="C10" s="14" t="s">
        <v>204</v>
      </c>
      <c r="D10" s="25" t="s">
        <v>205</v>
      </c>
    </row>
    <row r="11" spans="1:4" x14ac:dyDescent="0.2">
      <c r="A11" s="11" t="s">
        <v>206</v>
      </c>
      <c r="B11" s="24">
        <f>(B5*B9+B6*B10)*B7*B8</f>
        <v>134.9478</v>
      </c>
      <c r="D11" s="25" t="s">
        <v>207</v>
      </c>
    </row>
    <row r="13" spans="1:4" ht="15.75" customHeight="1" x14ac:dyDescent="0.2">
      <c r="A13" s="1" t="s">
        <v>208</v>
      </c>
      <c r="B13" s="1"/>
      <c r="C13" s="1"/>
      <c r="D13" s="1"/>
    </row>
    <row r="14" spans="1:4" x14ac:dyDescent="0.2">
      <c r="A14" s="13" t="s">
        <v>111</v>
      </c>
      <c r="B14" s="13" t="s">
        <v>19</v>
      </c>
      <c r="C14" s="13" t="s">
        <v>35</v>
      </c>
      <c r="D14" s="13" t="s">
        <v>36</v>
      </c>
    </row>
    <row r="15" spans="1:4" x14ac:dyDescent="0.2">
      <c r="A15" s="14" t="s">
        <v>209</v>
      </c>
      <c r="B15" s="27">
        <v>0.5</v>
      </c>
      <c r="C15" s="14" t="s">
        <v>190</v>
      </c>
      <c r="D15" s="25" t="s">
        <v>210</v>
      </c>
    </row>
    <row r="16" spans="1:4" x14ac:dyDescent="0.2">
      <c r="A16" s="14" t="s">
        <v>211</v>
      </c>
      <c r="B16" s="27">
        <v>1</v>
      </c>
      <c r="C16" s="14" t="s">
        <v>169</v>
      </c>
    </row>
    <row r="17" spans="1:4" x14ac:dyDescent="0.2">
      <c r="A17" s="14" t="s">
        <v>212</v>
      </c>
      <c r="B17" s="27">
        <v>1</v>
      </c>
      <c r="C17" s="14" t="s">
        <v>195</v>
      </c>
      <c r="D17" s="25" t="s">
        <v>213</v>
      </c>
    </row>
    <row r="18" spans="1:4" x14ac:dyDescent="0.2">
      <c r="A18" s="11" t="s">
        <v>214</v>
      </c>
      <c r="B18" s="24">
        <f>(B15*B9+B16*B10)*B17*B8</f>
        <v>22.491299999999999</v>
      </c>
      <c r="D18" s="25" t="s">
        <v>215</v>
      </c>
    </row>
    <row r="20" spans="1:4" ht="15.75" customHeight="1" x14ac:dyDescent="0.2">
      <c r="A20" s="1" t="s">
        <v>216</v>
      </c>
      <c r="B20" s="1"/>
      <c r="C20" s="1"/>
      <c r="D20" s="1"/>
    </row>
    <row r="21" spans="1:4" x14ac:dyDescent="0.2">
      <c r="A21" s="13" t="s">
        <v>111</v>
      </c>
      <c r="B21" s="13" t="s">
        <v>19</v>
      </c>
      <c r="C21" s="13" t="s">
        <v>35</v>
      </c>
      <c r="D21" s="13" t="s">
        <v>36</v>
      </c>
    </row>
    <row r="22" spans="1:4" x14ac:dyDescent="0.2">
      <c r="A22" s="14" t="s">
        <v>217</v>
      </c>
      <c r="B22" s="27">
        <v>4</v>
      </c>
      <c r="C22" s="14" t="s">
        <v>198</v>
      </c>
      <c r="D22" s="25" t="s">
        <v>218</v>
      </c>
    </row>
    <row r="23" spans="1:4" x14ac:dyDescent="0.2">
      <c r="A23" s="11" t="s">
        <v>219</v>
      </c>
      <c r="B23" s="24">
        <f>(B5*B9+B6*B10)*B7*B22+(B15*B9+B16*B10)*B17*B22</f>
        <v>0.86268</v>
      </c>
      <c r="D23" s="25" t="s">
        <v>220</v>
      </c>
    </row>
    <row r="25" spans="1:4" x14ac:dyDescent="0.2">
      <c r="A25" s="22" t="s">
        <v>221</v>
      </c>
      <c r="B25" s="22">
        <f>B11+B18+B23</f>
        <v>158.30178000000001</v>
      </c>
    </row>
  </sheetData>
  <mergeCells count="4">
    <mergeCell ref="A1:D1"/>
    <mergeCell ref="A3:D3"/>
    <mergeCell ref="A13:D13"/>
    <mergeCell ref="A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D34"/>
  <sheetViews>
    <sheetView zoomScale="125" zoomScaleNormal="100" workbookViewId="0">
      <pane ySplit="2" topLeftCell="A3" activePane="bottomLeft" state="frozen"/>
      <selection pane="bottomLeft" sqref="A1:D1"/>
    </sheetView>
  </sheetViews>
  <sheetFormatPr baseColWidth="10" defaultColWidth="8.6640625" defaultRowHeight="15" x14ac:dyDescent="0.2"/>
  <cols>
    <col min="1" max="1" width="40" customWidth="1"/>
    <col min="2" max="2" width="16" customWidth="1"/>
    <col min="3" max="3" width="14" customWidth="1"/>
    <col min="4" max="4" width="40" customWidth="1"/>
  </cols>
  <sheetData>
    <row r="1" spans="1:4" ht="19.5" customHeight="1" x14ac:dyDescent="0.2">
      <c r="A1" s="3" t="s">
        <v>222</v>
      </c>
      <c r="B1" s="3"/>
      <c r="C1" s="3"/>
      <c r="D1" s="3"/>
    </row>
    <row r="3" spans="1:4" ht="15.75" customHeight="1" x14ac:dyDescent="0.2">
      <c r="A3" s="1" t="s">
        <v>223</v>
      </c>
      <c r="B3" s="1"/>
      <c r="C3" s="1"/>
      <c r="D3" s="1"/>
    </row>
    <row r="4" spans="1:4" x14ac:dyDescent="0.2">
      <c r="A4" s="13" t="s">
        <v>111</v>
      </c>
      <c r="B4" s="13" t="s">
        <v>19</v>
      </c>
      <c r="C4" s="13" t="s">
        <v>35</v>
      </c>
      <c r="D4" s="13" t="s">
        <v>36</v>
      </c>
    </row>
    <row r="5" spans="1:4" x14ac:dyDescent="0.2">
      <c r="A5" s="14" t="s">
        <v>224</v>
      </c>
      <c r="B5" s="27" t="s">
        <v>225</v>
      </c>
      <c r="C5" s="14" t="s">
        <v>226</v>
      </c>
      <c r="D5" s="25" t="s">
        <v>227</v>
      </c>
    </row>
    <row r="6" spans="1:4" x14ac:dyDescent="0.2">
      <c r="A6" s="14" t="s">
        <v>228</v>
      </c>
      <c r="B6" s="31">
        <f>Pricing!B32</f>
        <v>0.17299999999999999</v>
      </c>
      <c r="C6" s="14" t="s">
        <v>229</v>
      </c>
      <c r="D6" s="25" t="s">
        <v>230</v>
      </c>
    </row>
    <row r="7" spans="1:4" x14ac:dyDescent="0.2">
      <c r="A7" s="14" t="s">
        <v>231</v>
      </c>
      <c r="B7" s="27">
        <v>3</v>
      </c>
      <c r="C7" s="14" t="s">
        <v>195</v>
      </c>
      <c r="D7" s="25" t="s">
        <v>232</v>
      </c>
    </row>
    <row r="8" spans="1:4" x14ac:dyDescent="0.2">
      <c r="A8" s="14" t="s">
        <v>197</v>
      </c>
      <c r="B8" s="27">
        <v>730</v>
      </c>
      <c r="C8" s="14" t="s">
        <v>198</v>
      </c>
    </row>
    <row r="9" spans="1:4" x14ac:dyDescent="0.2">
      <c r="A9" s="14" t="s">
        <v>233</v>
      </c>
      <c r="B9" s="27">
        <v>20</v>
      </c>
      <c r="C9" s="14" t="s">
        <v>169</v>
      </c>
      <c r="D9" s="25" t="s">
        <v>234</v>
      </c>
    </row>
    <row r="10" spans="1:4" x14ac:dyDescent="0.2">
      <c r="A10" s="14" t="s">
        <v>235</v>
      </c>
      <c r="B10" s="31">
        <f>Pricing!B15</f>
        <v>9.2399999999999996E-2</v>
      </c>
      <c r="C10" s="14" t="s">
        <v>236</v>
      </c>
    </row>
    <row r="11" spans="1:4" x14ac:dyDescent="0.2">
      <c r="A11" s="11" t="s">
        <v>237</v>
      </c>
      <c r="B11" s="16">
        <f>B6*B7*B8</f>
        <v>378.86999999999995</v>
      </c>
    </row>
    <row r="12" spans="1:4" x14ac:dyDescent="0.2">
      <c r="A12" s="11" t="s">
        <v>238</v>
      </c>
      <c r="B12" s="16">
        <f>B9*B7*B10</f>
        <v>5.5439999999999996</v>
      </c>
    </row>
    <row r="13" spans="1:4" x14ac:dyDescent="0.2">
      <c r="A13" s="11" t="s">
        <v>239</v>
      </c>
      <c r="B13" s="24">
        <f>B11+B12</f>
        <v>384.41399999999993</v>
      </c>
    </row>
    <row r="15" spans="1:4" ht="15.75" customHeight="1" x14ac:dyDescent="0.2">
      <c r="A15" s="1" t="s">
        <v>240</v>
      </c>
      <c r="B15" s="1"/>
      <c r="C15" s="1"/>
      <c r="D15" s="1"/>
    </row>
    <row r="16" spans="1:4" x14ac:dyDescent="0.2">
      <c r="A16" s="13" t="s">
        <v>111</v>
      </c>
      <c r="B16" s="13" t="s">
        <v>19</v>
      </c>
      <c r="C16" s="13" t="s">
        <v>35</v>
      </c>
      <c r="D16" s="13" t="s">
        <v>36</v>
      </c>
    </row>
    <row r="17" spans="1:4" x14ac:dyDescent="0.2">
      <c r="A17" s="14" t="s">
        <v>241</v>
      </c>
      <c r="B17" s="27">
        <v>5</v>
      </c>
      <c r="C17" s="14" t="s">
        <v>169</v>
      </c>
      <c r="D17" s="25" t="s">
        <v>242</v>
      </c>
    </row>
    <row r="18" spans="1:4" x14ac:dyDescent="0.2">
      <c r="A18" s="14" t="s">
        <v>243</v>
      </c>
      <c r="B18" s="12">
        <f>Inputs!B6*Inputs!B7*Inputs!B12*Inputs!B13/1024/1024</f>
        <v>2384.185791015625</v>
      </c>
      <c r="D18" s="25" t="s">
        <v>244</v>
      </c>
    </row>
    <row r="19" spans="1:4" x14ac:dyDescent="0.2">
      <c r="A19" s="14" t="s">
        <v>245</v>
      </c>
      <c r="B19" s="31">
        <f>Pricing!B10</f>
        <v>2.5000000000000001E-2</v>
      </c>
      <c r="C19" s="14" t="s">
        <v>236</v>
      </c>
    </row>
    <row r="20" spans="1:4" x14ac:dyDescent="0.2">
      <c r="A20" s="11" t="s">
        <v>246</v>
      </c>
      <c r="B20" s="16">
        <f>B17*B19</f>
        <v>0.125</v>
      </c>
    </row>
    <row r="21" spans="1:4" x14ac:dyDescent="0.2">
      <c r="A21" s="11" t="s">
        <v>247</v>
      </c>
      <c r="B21" s="16">
        <f>B18*B19</f>
        <v>59.604644775390625</v>
      </c>
    </row>
    <row r="22" spans="1:4" x14ac:dyDescent="0.2">
      <c r="A22" s="14" t="s">
        <v>248</v>
      </c>
      <c r="B22" s="32">
        <f>Inputs!B27*30*Inputs!B12</f>
        <v>37500</v>
      </c>
      <c r="D22" s="25" t="s">
        <v>249</v>
      </c>
    </row>
    <row r="23" spans="1:4" x14ac:dyDescent="0.2">
      <c r="A23" s="14" t="s">
        <v>250</v>
      </c>
      <c r="B23" s="32">
        <f>Inputs!B26*30</f>
        <v>30000000</v>
      </c>
      <c r="D23" s="25" t="s">
        <v>251</v>
      </c>
    </row>
    <row r="24" spans="1:4" x14ac:dyDescent="0.2">
      <c r="A24" s="11" t="s">
        <v>252</v>
      </c>
      <c r="B24" s="16">
        <f>B22/1000*Pricing!B13</f>
        <v>0.1875</v>
      </c>
    </row>
    <row r="25" spans="1:4" x14ac:dyDescent="0.2">
      <c r="A25" s="11" t="s">
        <v>253</v>
      </c>
      <c r="B25" s="16">
        <f>B23/1000*Pricing!B14</f>
        <v>12</v>
      </c>
    </row>
    <row r="26" spans="1:4" x14ac:dyDescent="0.2">
      <c r="A26" s="11" t="s">
        <v>254</v>
      </c>
      <c r="B26" s="24">
        <f>B20+B21+B24+B25</f>
        <v>71.917144775390625</v>
      </c>
    </row>
    <row r="28" spans="1:4" ht="15.75" customHeight="1" x14ac:dyDescent="0.2">
      <c r="A28" s="1" t="s">
        <v>255</v>
      </c>
      <c r="B28" s="1"/>
      <c r="C28" s="1"/>
      <c r="D28" s="1"/>
    </row>
    <row r="29" spans="1:4" x14ac:dyDescent="0.2">
      <c r="A29" s="13" t="s">
        <v>111</v>
      </c>
      <c r="B29" s="13" t="s">
        <v>19</v>
      </c>
      <c r="C29" s="13" t="s">
        <v>35</v>
      </c>
      <c r="D29" s="13" t="s">
        <v>36</v>
      </c>
    </row>
    <row r="30" spans="1:4" x14ac:dyDescent="0.2">
      <c r="A30" s="14" t="s">
        <v>256</v>
      </c>
      <c r="B30" s="27">
        <v>5</v>
      </c>
      <c r="C30" s="14" t="s">
        <v>169</v>
      </c>
      <c r="D30" s="25" t="s">
        <v>257</v>
      </c>
    </row>
    <row r="31" spans="1:4" x14ac:dyDescent="0.2">
      <c r="A31" s="14" t="s">
        <v>258</v>
      </c>
      <c r="B31" s="31">
        <f>Pricing!B16</f>
        <v>0.1</v>
      </c>
      <c r="C31" s="14" t="s">
        <v>236</v>
      </c>
    </row>
    <row r="32" spans="1:4" x14ac:dyDescent="0.2">
      <c r="A32" s="11" t="s">
        <v>259</v>
      </c>
      <c r="B32" s="24">
        <f>B30*B31</f>
        <v>0.5</v>
      </c>
    </row>
    <row r="34" spans="1:2" x14ac:dyDescent="0.2">
      <c r="A34" s="22" t="s">
        <v>260</v>
      </c>
      <c r="B34" s="22">
        <f>B13+B26+B32</f>
        <v>456.83114477539056</v>
      </c>
    </row>
  </sheetData>
  <mergeCells count="4">
    <mergeCell ref="A1:D1"/>
    <mergeCell ref="A3:D3"/>
    <mergeCell ref="A15:D15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D26"/>
  <sheetViews>
    <sheetView zoomScale="150" zoomScaleNormal="100" workbookViewId="0">
      <pane ySplit="2" topLeftCell="A3" activePane="bottomLeft" state="frozen"/>
      <selection pane="bottomLeft" activeCell="E9" sqref="E9"/>
    </sheetView>
  </sheetViews>
  <sheetFormatPr baseColWidth="10" defaultColWidth="8.6640625" defaultRowHeight="15" x14ac:dyDescent="0.2"/>
  <cols>
    <col min="1" max="1" width="40" customWidth="1"/>
    <col min="2" max="2" width="16" customWidth="1"/>
    <col min="3" max="3" width="14" customWidth="1"/>
    <col min="4" max="4" width="40" customWidth="1"/>
  </cols>
  <sheetData>
    <row r="1" spans="1:4" ht="19.5" customHeight="1" x14ac:dyDescent="0.2">
      <c r="A1" s="3" t="s">
        <v>261</v>
      </c>
      <c r="B1" s="3"/>
      <c r="C1" s="3"/>
      <c r="D1" s="3"/>
    </row>
    <row r="3" spans="1:4" ht="15.75" customHeight="1" x14ac:dyDescent="0.2">
      <c r="A3" s="1" t="s">
        <v>262</v>
      </c>
      <c r="B3" s="1"/>
      <c r="C3" s="1"/>
      <c r="D3" s="1"/>
    </row>
    <row r="4" spans="1:4" x14ac:dyDescent="0.2">
      <c r="A4" s="13" t="s">
        <v>111</v>
      </c>
      <c r="B4" s="13" t="s">
        <v>19</v>
      </c>
      <c r="C4" s="13" t="s">
        <v>35</v>
      </c>
      <c r="D4" s="13" t="s">
        <v>36</v>
      </c>
    </row>
    <row r="5" spans="1:4" x14ac:dyDescent="0.2">
      <c r="A5" s="14" t="s">
        <v>263</v>
      </c>
      <c r="B5" s="27" t="s">
        <v>264</v>
      </c>
      <c r="C5" s="14" t="s">
        <v>226</v>
      </c>
      <c r="D5" s="25" t="s">
        <v>265</v>
      </c>
    </row>
    <row r="6" spans="1:4" x14ac:dyDescent="0.2">
      <c r="A6" s="14" t="s">
        <v>228</v>
      </c>
      <c r="B6" s="31">
        <f>Pricing!B20</f>
        <v>0.34799999999999998</v>
      </c>
      <c r="C6" s="14" t="s">
        <v>229</v>
      </c>
      <c r="D6" s="25" t="s">
        <v>266</v>
      </c>
    </row>
    <row r="7" spans="1:4" x14ac:dyDescent="0.2">
      <c r="A7" s="14" t="s">
        <v>267</v>
      </c>
      <c r="B7" s="27">
        <v>2</v>
      </c>
      <c r="C7" s="14" t="s">
        <v>195</v>
      </c>
      <c r="D7" s="25" t="s">
        <v>268</v>
      </c>
    </row>
    <row r="8" spans="1:4" x14ac:dyDescent="0.2">
      <c r="A8" s="14" t="s">
        <v>197</v>
      </c>
      <c r="B8" s="27">
        <v>730</v>
      </c>
      <c r="C8" s="14" t="s">
        <v>198</v>
      </c>
    </row>
    <row r="9" spans="1:4" x14ac:dyDescent="0.2">
      <c r="A9" s="14" t="s">
        <v>269</v>
      </c>
      <c r="B9" s="12">
        <f>CEILING(Inputs!B34*1.5, 1)</f>
        <v>2361</v>
      </c>
      <c r="D9" s="25" t="s">
        <v>270</v>
      </c>
    </row>
    <row r="10" spans="1:4" x14ac:dyDescent="0.2">
      <c r="A10" s="14" t="s">
        <v>271</v>
      </c>
      <c r="B10" s="31">
        <f>Pricing!B22</f>
        <v>0.11</v>
      </c>
      <c r="C10" s="14" t="s">
        <v>236</v>
      </c>
    </row>
    <row r="11" spans="1:4" x14ac:dyDescent="0.2">
      <c r="A11" s="14" t="s">
        <v>272</v>
      </c>
      <c r="B11" s="27">
        <v>1</v>
      </c>
      <c r="C11" s="14" t="s">
        <v>273</v>
      </c>
      <c r="D11" s="25" t="s">
        <v>274</v>
      </c>
    </row>
    <row r="12" spans="1:4" x14ac:dyDescent="0.2">
      <c r="A12" s="14" t="s">
        <v>275</v>
      </c>
      <c r="B12" s="31">
        <f>Pricing!B23</f>
        <v>0.22</v>
      </c>
      <c r="C12" s="14" t="s">
        <v>276</v>
      </c>
    </row>
    <row r="13" spans="1:4" x14ac:dyDescent="0.2">
      <c r="A13" s="11" t="s">
        <v>277</v>
      </c>
      <c r="B13" s="16">
        <f>B6*B7*B8</f>
        <v>508.08</v>
      </c>
    </row>
    <row r="14" spans="1:4" x14ac:dyDescent="0.2">
      <c r="A14" s="11" t="s">
        <v>278</v>
      </c>
      <c r="B14" s="16">
        <f>B9*B10</f>
        <v>259.70999999999998</v>
      </c>
    </row>
    <row r="15" spans="1:4" x14ac:dyDescent="0.2">
      <c r="A15" s="11" t="s">
        <v>279</v>
      </c>
      <c r="B15" s="16">
        <f>B11*B12</f>
        <v>0.22</v>
      </c>
    </row>
    <row r="16" spans="1:4" x14ac:dyDescent="0.2">
      <c r="A16" s="11" t="s">
        <v>280</v>
      </c>
      <c r="B16" s="24">
        <f>B13+B14+B15</f>
        <v>768.01</v>
      </c>
    </row>
    <row r="18" spans="1:4" ht="15.75" customHeight="1" x14ac:dyDescent="0.2">
      <c r="A18" s="1" t="s">
        <v>281</v>
      </c>
      <c r="B18" s="1"/>
      <c r="C18" s="1"/>
      <c r="D18" s="1"/>
    </row>
    <row r="19" spans="1:4" x14ac:dyDescent="0.2">
      <c r="A19" s="13" t="s">
        <v>111</v>
      </c>
      <c r="B19" s="13" t="s">
        <v>19</v>
      </c>
      <c r="C19" s="13" t="s">
        <v>35</v>
      </c>
      <c r="D19" s="13" t="s">
        <v>36</v>
      </c>
    </row>
    <row r="20" spans="1:4" x14ac:dyDescent="0.2">
      <c r="A20" s="14" t="s">
        <v>282</v>
      </c>
      <c r="B20" s="27" t="s">
        <v>283</v>
      </c>
      <c r="C20" s="14" t="s">
        <v>226</v>
      </c>
    </row>
    <row r="21" spans="1:4" x14ac:dyDescent="0.2">
      <c r="A21" s="14" t="s">
        <v>228</v>
      </c>
      <c r="B21" s="31">
        <f>Pricing!B27</f>
        <v>0.27300000000000002</v>
      </c>
      <c r="C21" s="14" t="s">
        <v>229</v>
      </c>
      <c r="D21" s="25" t="s">
        <v>284</v>
      </c>
    </row>
    <row r="22" spans="1:4" x14ac:dyDescent="0.2">
      <c r="A22" s="14" t="s">
        <v>285</v>
      </c>
      <c r="B22" s="27">
        <v>2</v>
      </c>
      <c r="C22" s="14" t="s">
        <v>195</v>
      </c>
      <c r="D22" s="25" t="s">
        <v>286</v>
      </c>
    </row>
    <row r="23" spans="1:4" x14ac:dyDescent="0.2">
      <c r="A23" s="14" t="s">
        <v>197</v>
      </c>
      <c r="B23" s="27">
        <v>730</v>
      </c>
      <c r="C23" s="14" t="s">
        <v>198</v>
      </c>
    </row>
    <row r="24" spans="1:4" x14ac:dyDescent="0.2">
      <c r="A24" s="11" t="s">
        <v>287</v>
      </c>
      <c r="B24" s="24">
        <f>B21*B22*B23</f>
        <v>398.58000000000004</v>
      </c>
    </row>
    <row r="26" spans="1:4" x14ac:dyDescent="0.2">
      <c r="A26" s="22" t="s">
        <v>288</v>
      </c>
      <c r="B26" s="22">
        <f>B16+B24</f>
        <v>1166.5900000000001</v>
      </c>
    </row>
  </sheetData>
  <mergeCells count="3">
    <mergeCell ref="A1:D1"/>
    <mergeCell ref="A3:D3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D13"/>
  <sheetViews>
    <sheetView zoomScale="150" zoomScaleNormal="100" workbookViewId="0">
      <pane ySplit="2" topLeftCell="A3" activePane="bottomLeft" state="frozen"/>
      <selection pane="bottomLeft" sqref="A1:D1"/>
    </sheetView>
  </sheetViews>
  <sheetFormatPr baseColWidth="10" defaultColWidth="8.6640625" defaultRowHeight="15" x14ac:dyDescent="0.2"/>
  <cols>
    <col min="1" max="1" width="40" customWidth="1"/>
    <col min="2" max="2" width="16" customWidth="1"/>
    <col min="3" max="3" width="18" customWidth="1"/>
    <col min="4" max="4" width="42" customWidth="1"/>
  </cols>
  <sheetData>
    <row r="1" spans="1:4" ht="19.5" customHeight="1" x14ac:dyDescent="0.2">
      <c r="A1" s="3" t="s">
        <v>289</v>
      </c>
      <c r="B1" s="3"/>
      <c r="C1" s="3"/>
      <c r="D1" s="3"/>
    </row>
    <row r="3" spans="1:4" ht="15.75" customHeight="1" x14ac:dyDescent="0.2">
      <c r="A3" s="1" t="s">
        <v>290</v>
      </c>
      <c r="B3" s="1"/>
      <c r="C3" s="1"/>
      <c r="D3" s="1"/>
    </row>
    <row r="4" spans="1:4" x14ac:dyDescent="0.2">
      <c r="A4" s="13" t="s">
        <v>111</v>
      </c>
      <c r="B4" s="13" t="s">
        <v>19</v>
      </c>
      <c r="C4" s="13" t="s">
        <v>35</v>
      </c>
      <c r="D4" s="13" t="s">
        <v>36</v>
      </c>
    </row>
    <row r="5" spans="1:4" x14ac:dyDescent="0.2">
      <c r="A5" s="14" t="s">
        <v>291</v>
      </c>
      <c r="B5" s="27" t="s">
        <v>292</v>
      </c>
      <c r="C5" s="14" t="s">
        <v>226</v>
      </c>
      <c r="D5" s="25" t="s">
        <v>293</v>
      </c>
    </row>
    <row r="6" spans="1:4" x14ac:dyDescent="0.2">
      <c r="A6" s="14" t="s">
        <v>228</v>
      </c>
      <c r="B6" s="31">
        <f>Pricing!B37</f>
        <v>0.29099999999999998</v>
      </c>
      <c r="C6" s="14" t="s">
        <v>229</v>
      </c>
      <c r="D6" s="25" t="s">
        <v>294</v>
      </c>
    </row>
    <row r="7" spans="1:4" x14ac:dyDescent="0.2">
      <c r="A7" s="14" t="s">
        <v>295</v>
      </c>
      <c r="B7" s="27">
        <v>1</v>
      </c>
      <c r="C7" s="14" t="s">
        <v>195</v>
      </c>
      <c r="D7" s="25" t="s">
        <v>296</v>
      </c>
    </row>
    <row r="8" spans="1:4" x14ac:dyDescent="0.2">
      <c r="A8" s="14" t="s">
        <v>197</v>
      </c>
      <c r="B8" s="27">
        <v>730</v>
      </c>
      <c r="C8" s="14" t="s">
        <v>198</v>
      </c>
    </row>
    <row r="9" spans="1:4" x14ac:dyDescent="0.2">
      <c r="A9" s="11" t="s">
        <v>297</v>
      </c>
      <c r="B9" s="24">
        <f>B6*B7*B8</f>
        <v>212.42999999999998</v>
      </c>
    </row>
    <row r="11" spans="1:4" x14ac:dyDescent="0.2">
      <c r="A11" s="14" t="s">
        <v>298</v>
      </c>
      <c r="B11" s="32">
        <f>Inputs!B38</f>
        <v>750000</v>
      </c>
      <c r="C11" s="14" t="s">
        <v>183</v>
      </c>
      <c r="D11" s="25" t="s">
        <v>299</v>
      </c>
    </row>
    <row r="13" spans="1:4" x14ac:dyDescent="0.2">
      <c r="A13" s="22" t="s">
        <v>300</v>
      </c>
      <c r="B13" s="22">
        <f>B9</f>
        <v>212.42999999999998</v>
      </c>
    </row>
  </sheetData>
  <mergeCells count="2">
    <mergeCell ref="A1:D1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D38"/>
  <sheetViews>
    <sheetView zoomScale="119" zoomScaleNormal="100" workbookViewId="0">
      <pane ySplit="2" topLeftCell="A3" activePane="bottomLeft" state="frozen"/>
      <selection pane="bottomLeft" activeCell="B6" sqref="B6"/>
    </sheetView>
  </sheetViews>
  <sheetFormatPr baseColWidth="10" defaultColWidth="8.6640625" defaultRowHeight="15" x14ac:dyDescent="0.2"/>
  <cols>
    <col min="1" max="1" width="40" customWidth="1"/>
    <col min="2" max="2" width="16" customWidth="1"/>
    <col min="3" max="3" width="18" customWidth="1"/>
    <col min="4" max="4" width="42" customWidth="1"/>
  </cols>
  <sheetData>
    <row r="1" spans="1:4" ht="19.5" customHeight="1" x14ac:dyDescent="0.2">
      <c r="A1" s="3" t="s">
        <v>301</v>
      </c>
      <c r="B1" s="3"/>
      <c r="C1" s="3"/>
      <c r="D1" s="3"/>
    </row>
    <row r="3" spans="1:4" ht="15.75" customHeight="1" x14ac:dyDescent="0.2">
      <c r="A3" s="1" t="s">
        <v>302</v>
      </c>
      <c r="B3" s="1"/>
      <c r="C3" s="1"/>
      <c r="D3" s="1"/>
    </row>
    <row r="4" spans="1:4" x14ac:dyDescent="0.2">
      <c r="A4" s="13" t="s">
        <v>111</v>
      </c>
      <c r="B4" s="13" t="s">
        <v>19</v>
      </c>
      <c r="C4" s="13" t="s">
        <v>35</v>
      </c>
      <c r="D4" s="13" t="s">
        <v>36</v>
      </c>
    </row>
    <row r="5" spans="1:4" x14ac:dyDescent="0.2">
      <c r="A5" s="14" t="s">
        <v>303</v>
      </c>
      <c r="B5" s="27">
        <v>1</v>
      </c>
      <c r="C5" s="14" t="s">
        <v>195</v>
      </c>
      <c r="D5" s="25" t="s">
        <v>304</v>
      </c>
    </row>
    <row r="6" spans="1:4" x14ac:dyDescent="0.2">
      <c r="A6" s="14" t="s">
        <v>305</v>
      </c>
      <c r="B6" s="31">
        <f>Pricing!B44</f>
        <v>2.52E-2</v>
      </c>
      <c r="C6" s="14" t="s">
        <v>229</v>
      </c>
    </row>
    <row r="7" spans="1:4" x14ac:dyDescent="0.2">
      <c r="A7" s="14" t="s">
        <v>197</v>
      </c>
      <c r="B7" s="27">
        <v>730</v>
      </c>
      <c r="C7" s="14" t="s">
        <v>198</v>
      </c>
    </row>
    <row r="8" spans="1:4" x14ac:dyDescent="0.2">
      <c r="A8" s="14" t="s">
        <v>306</v>
      </c>
      <c r="B8" s="27">
        <v>100</v>
      </c>
      <c r="C8" s="14" t="s">
        <v>307</v>
      </c>
      <c r="D8" s="25" t="s">
        <v>308</v>
      </c>
    </row>
    <row r="9" spans="1:4" x14ac:dyDescent="0.2">
      <c r="A9" s="14" t="s">
        <v>309</v>
      </c>
      <c r="B9" s="31">
        <f>Pricing!B45</f>
        <v>8.0000000000000002E-3</v>
      </c>
      <c r="C9" s="14" t="s">
        <v>310</v>
      </c>
    </row>
    <row r="10" spans="1:4" x14ac:dyDescent="0.2">
      <c r="A10" s="11" t="s">
        <v>311</v>
      </c>
      <c r="B10" s="24">
        <f>B5*B6*B7+B8*B9</f>
        <v>19.196000000000002</v>
      </c>
    </row>
    <row r="12" spans="1:4" ht="15.75" customHeight="1" x14ac:dyDescent="0.2">
      <c r="A12" s="1" t="s">
        <v>312</v>
      </c>
      <c r="B12" s="1"/>
      <c r="C12" s="1"/>
      <c r="D12" s="1"/>
    </row>
    <row r="13" spans="1:4" x14ac:dyDescent="0.2">
      <c r="A13" s="13" t="s">
        <v>111</v>
      </c>
      <c r="B13" s="13" t="s">
        <v>19</v>
      </c>
      <c r="C13" s="13" t="s">
        <v>35</v>
      </c>
      <c r="D13" s="13" t="s">
        <v>36</v>
      </c>
    </row>
    <row r="14" spans="1:4" x14ac:dyDescent="0.2">
      <c r="A14" s="14" t="s">
        <v>313</v>
      </c>
      <c r="B14" s="27">
        <v>1</v>
      </c>
      <c r="C14" s="14" t="s">
        <v>195</v>
      </c>
    </row>
    <row r="15" spans="1:4" x14ac:dyDescent="0.2">
      <c r="A15" s="14" t="s">
        <v>314</v>
      </c>
      <c r="B15" s="31">
        <f>Pricing!B48</f>
        <v>5</v>
      </c>
      <c r="C15" s="14" t="s">
        <v>315</v>
      </c>
    </row>
    <row r="16" spans="1:4" x14ac:dyDescent="0.2">
      <c r="A16" s="14" t="s">
        <v>316</v>
      </c>
      <c r="B16" s="27">
        <v>5</v>
      </c>
      <c r="C16" s="14" t="s">
        <v>317</v>
      </c>
      <c r="D16" s="25" t="s">
        <v>318</v>
      </c>
    </row>
    <row r="17" spans="1:4" x14ac:dyDescent="0.2">
      <c r="A17" s="14" t="s">
        <v>319</v>
      </c>
      <c r="B17" s="31">
        <f>Pricing!B49</f>
        <v>1</v>
      </c>
      <c r="C17" s="14" t="s">
        <v>320</v>
      </c>
    </row>
    <row r="18" spans="1:4" x14ac:dyDescent="0.2">
      <c r="A18" s="14" t="s">
        <v>321</v>
      </c>
      <c r="B18" s="12">
        <f>Inputs!B26*30/1000000</f>
        <v>30</v>
      </c>
      <c r="C18" s="14" t="s">
        <v>273</v>
      </c>
      <c r="D18" s="25" t="s">
        <v>322</v>
      </c>
    </row>
    <row r="19" spans="1:4" x14ac:dyDescent="0.2">
      <c r="A19" s="14" t="s">
        <v>323</v>
      </c>
      <c r="B19" s="31">
        <f>Pricing!B50</f>
        <v>0.6</v>
      </c>
      <c r="C19" s="14" t="s">
        <v>276</v>
      </c>
    </row>
    <row r="20" spans="1:4" x14ac:dyDescent="0.2">
      <c r="A20" s="11" t="s">
        <v>324</v>
      </c>
      <c r="B20" s="24">
        <f>B14*B15+B16*B17+B18*B19</f>
        <v>28</v>
      </c>
    </row>
    <row r="22" spans="1:4" ht="15.75" customHeight="1" x14ac:dyDescent="0.2">
      <c r="A22" s="1" t="s">
        <v>325</v>
      </c>
      <c r="B22" s="1"/>
      <c r="C22" s="1"/>
      <c r="D22" s="1"/>
    </row>
    <row r="23" spans="1:4" x14ac:dyDescent="0.2">
      <c r="A23" s="13" t="s">
        <v>111</v>
      </c>
      <c r="B23" s="13" t="s">
        <v>19</v>
      </c>
      <c r="C23" s="13" t="s">
        <v>35</v>
      </c>
      <c r="D23" s="13" t="s">
        <v>36</v>
      </c>
    </row>
    <row r="24" spans="1:4" x14ac:dyDescent="0.2">
      <c r="A24" s="14" t="s">
        <v>326</v>
      </c>
      <c r="B24" s="27">
        <v>1</v>
      </c>
      <c r="C24" s="14" t="s">
        <v>195</v>
      </c>
    </row>
    <row r="25" spans="1:4" x14ac:dyDescent="0.2">
      <c r="A25" s="14" t="s">
        <v>327</v>
      </c>
      <c r="B25" s="31">
        <f>Pricing!B46</f>
        <v>0.5</v>
      </c>
      <c r="C25" s="14" t="s">
        <v>328</v>
      </c>
    </row>
    <row r="26" spans="1:4" x14ac:dyDescent="0.2">
      <c r="A26" s="14" t="s">
        <v>329</v>
      </c>
      <c r="B26" s="12">
        <f>Inputs!B26*30/1000000</f>
        <v>30</v>
      </c>
      <c r="C26" s="14" t="s">
        <v>330</v>
      </c>
    </row>
    <row r="27" spans="1:4" x14ac:dyDescent="0.2">
      <c r="A27" s="14" t="s">
        <v>331</v>
      </c>
      <c r="B27" s="31">
        <f>Pricing!B47</f>
        <v>0.4</v>
      </c>
      <c r="C27" s="14" t="s">
        <v>332</v>
      </c>
    </row>
    <row r="28" spans="1:4" x14ac:dyDescent="0.2">
      <c r="A28" s="11" t="s">
        <v>333</v>
      </c>
      <c r="B28" s="24">
        <f>B24*B25+B26*B27</f>
        <v>12.5</v>
      </c>
    </row>
    <row r="30" spans="1:4" ht="15.75" customHeight="1" x14ac:dyDescent="0.2">
      <c r="A30" s="1" t="s">
        <v>334</v>
      </c>
      <c r="B30" s="1"/>
      <c r="C30" s="1"/>
      <c r="D30" s="1"/>
    </row>
    <row r="31" spans="1:4" x14ac:dyDescent="0.2">
      <c r="A31" s="13" t="s">
        <v>111</v>
      </c>
      <c r="B31" s="13" t="s">
        <v>19</v>
      </c>
      <c r="C31" s="13" t="s">
        <v>35</v>
      </c>
      <c r="D31" s="13" t="s">
        <v>36</v>
      </c>
    </row>
    <row r="32" spans="1:4" x14ac:dyDescent="0.2">
      <c r="A32" s="14" t="s">
        <v>335</v>
      </c>
      <c r="B32" s="12">
        <f>Inputs!B37</f>
        <v>143.0511474609375</v>
      </c>
      <c r="C32" s="14" t="s">
        <v>169</v>
      </c>
      <c r="D32" s="25" t="s">
        <v>336</v>
      </c>
    </row>
    <row r="33" spans="1:4" x14ac:dyDescent="0.2">
      <c r="A33" s="14" t="s">
        <v>337</v>
      </c>
      <c r="B33" s="31">
        <f>Pricing!B42</f>
        <v>0.10929999999999999</v>
      </c>
      <c r="C33" s="14" t="s">
        <v>338</v>
      </c>
    </row>
    <row r="34" spans="1:4" x14ac:dyDescent="0.2">
      <c r="A34" s="14" t="s">
        <v>339</v>
      </c>
      <c r="B34" s="12">
        <f>Inputs!B39</f>
        <v>286.102294921875</v>
      </c>
      <c r="C34" s="14" t="s">
        <v>169</v>
      </c>
      <c r="D34" s="25" t="s">
        <v>340</v>
      </c>
    </row>
    <row r="35" spans="1:4" x14ac:dyDescent="0.2">
      <c r="A35" s="14" t="s">
        <v>341</v>
      </c>
      <c r="B35" s="31">
        <f>Pricing!B43</f>
        <v>0.02</v>
      </c>
      <c r="C35" s="14" t="s">
        <v>338</v>
      </c>
    </row>
    <row r="36" spans="1:4" x14ac:dyDescent="0.2">
      <c r="A36" s="11" t="s">
        <v>342</v>
      </c>
      <c r="B36" s="24">
        <f>B32*B33+B34*B35</f>
        <v>21.357536315917969</v>
      </c>
    </row>
    <row r="38" spans="1:4" x14ac:dyDescent="0.2">
      <c r="A38" s="22" t="s">
        <v>343</v>
      </c>
      <c r="B38" s="22">
        <f>B10+B20+B28+B36</f>
        <v>81.053536315917967</v>
      </c>
    </row>
  </sheetData>
  <mergeCells count="5">
    <mergeCell ref="A1:D1"/>
    <mergeCell ref="A3:D3"/>
    <mergeCell ref="A12:D12"/>
    <mergeCell ref="A22:D22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95959"/>
  </sheetPr>
  <dimension ref="A1:D24"/>
  <sheetViews>
    <sheetView zoomScaleNormal="100" workbookViewId="0">
      <pane ySplit="2" topLeftCell="A3" activePane="bottomLeft" state="frozen"/>
      <selection pane="bottomLeft" sqref="A1:D1"/>
    </sheetView>
  </sheetViews>
  <sheetFormatPr baseColWidth="10" defaultColWidth="8.6640625" defaultRowHeight="15" x14ac:dyDescent="0.2"/>
  <cols>
    <col min="1" max="1" width="40" customWidth="1"/>
    <col min="2" max="2" width="16" customWidth="1"/>
    <col min="3" max="3" width="18" customWidth="1"/>
    <col min="4" max="4" width="42" customWidth="1"/>
  </cols>
  <sheetData>
    <row r="1" spans="1:4" ht="19.5" customHeight="1" x14ac:dyDescent="0.2">
      <c r="A1" s="3" t="s">
        <v>344</v>
      </c>
      <c r="B1" s="3"/>
      <c r="C1" s="3"/>
      <c r="D1" s="3"/>
    </row>
    <row r="3" spans="1:4" ht="15.75" customHeight="1" x14ac:dyDescent="0.2">
      <c r="A3" s="1" t="s">
        <v>345</v>
      </c>
      <c r="B3" s="1"/>
      <c r="C3" s="1"/>
      <c r="D3" s="1"/>
    </row>
    <row r="4" spans="1:4" x14ac:dyDescent="0.2">
      <c r="A4" s="13" t="s">
        <v>111</v>
      </c>
      <c r="B4" s="13" t="s">
        <v>19</v>
      </c>
      <c r="C4" s="13" t="s">
        <v>35</v>
      </c>
      <c r="D4" s="13" t="s">
        <v>36</v>
      </c>
    </row>
    <row r="5" spans="1:4" x14ac:dyDescent="0.2">
      <c r="A5" s="14" t="s">
        <v>346</v>
      </c>
      <c r="B5" s="27">
        <v>1</v>
      </c>
      <c r="C5" s="14" t="s">
        <v>195</v>
      </c>
      <c r="D5" s="25" t="s">
        <v>347</v>
      </c>
    </row>
    <row r="6" spans="1:4" x14ac:dyDescent="0.2">
      <c r="A6" s="14" t="s">
        <v>348</v>
      </c>
      <c r="B6" s="31">
        <f>Pricing!B54</f>
        <v>1</v>
      </c>
      <c r="C6" s="14" t="s">
        <v>349</v>
      </c>
    </row>
    <row r="7" spans="1:4" x14ac:dyDescent="0.2">
      <c r="A7" s="14" t="s">
        <v>350</v>
      </c>
      <c r="B7" s="27">
        <v>20</v>
      </c>
      <c r="C7" s="14" t="s">
        <v>351</v>
      </c>
      <c r="D7" s="25" t="s">
        <v>352</v>
      </c>
    </row>
    <row r="8" spans="1:4" x14ac:dyDescent="0.2">
      <c r="A8" s="14" t="s">
        <v>353</v>
      </c>
      <c r="B8" s="27">
        <v>10</v>
      </c>
      <c r="C8" s="14" t="s">
        <v>354</v>
      </c>
      <c r="D8" s="25" t="s">
        <v>355</v>
      </c>
    </row>
    <row r="9" spans="1:4" x14ac:dyDescent="0.2">
      <c r="A9" s="14" t="s">
        <v>356</v>
      </c>
      <c r="B9" s="31">
        <f>Pricing!B55</f>
        <v>5.0000000000000001E-3</v>
      </c>
      <c r="C9" s="14" t="s">
        <v>357</v>
      </c>
    </row>
    <row r="10" spans="1:4" x14ac:dyDescent="0.2">
      <c r="A10" s="11" t="s">
        <v>358</v>
      </c>
      <c r="B10" s="16">
        <f>B5*B6</f>
        <v>1</v>
      </c>
    </row>
    <row r="11" spans="1:4" x14ac:dyDescent="0.2">
      <c r="A11" s="11" t="s">
        <v>359</v>
      </c>
      <c r="B11" s="16">
        <f>B7*B8*B9</f>
        <v>1</v>
      </c>
    </row>
    <row r="12" spans="1:4" x14ac:dyDescent="0.2">
      <c r="A12" s="11" t="s">
        <v>360</v>
      </c>
      <c r="B12" s="24">
        <f>B10+B11</f>
        <v>2</v>
      </c>
    </row>
    <row r="14" spans="1:4" ht="15.75" customHeight="1" x14ac:dyDescent="0.2">
      <c r="A14" s="1" t="s">
        <v>361</v>
      </c>
      <c r="B14" s="1"/>
      <c r="C14" s="1"/>
      <c r="D14" s="1"/>
    </row>
    <row r="15" spans="1:4" x14ac:dyDescent="0.2">
      <c r="A15" s="13" t="s">
        <v>111</v>
      </c>
      <c r="B15" s="13" t="s">
        <v>19</v>
      </c>
      <c r="C15" s="13" t="s">
        <v>35</v>
      </c>
      <c r="D15" s="13" t="s">
        <v>36</v>
      </c>
    </row>
    <row r="16" spans="1:4" x14ac:dyDescent="0.2">
      <c r="A16" s="14" t="s">
        <v>362</v>
      </c>
      <c r="B16" s="27">
        <v>20</v>
      </c>
      <c r="C16" s="14" t="s">
        <v>363</v>
      </c>
      <c r="D16" s="25" t="s">
        <v>364</v>
      </c>
    </row>
    <row r="17" spans="1:4" x14ac:dyDescent="0.2">
      <c r="A17" s="14" t="s">
        <v>365</v>
      </c>
      <c r="B17" s="31">
        <f>Pricing!B56</f>
        <v>0.3</v>
      </c>
      <c r="C17" s="14" t="s">
        <v>366</v>
      </c>
    </row>
    <row r="18" spans="1:4" x14ac:dyDescent="0.2">
      <c r="A18" s="14" t="s">
        <v>367</v>
      </c>
      <c r="B18" s="27">
        <v>2</v>
      </c>
      <c r="C18" s="14" t="s">
        <v>169</v>
      </c>
      <c r="D18" s="25" t="s">
        <v>368</v>
      </c>
    </row>
    <row r="19" spans="1:4" x14ac:dyDescent="0.2">
      <c r="A19" s="14" t="s">
        <v>369</v>
      </c>
      <c r="B19" s="31">
        <f>Pricing!B57</f>
        <v>0.56999999999999995</v>
      </c>
      <c r="C19" s="14" t="s">
        <v>338</v>
      </c>
    </row>
    <row r="20" spans="1:4" x14ac:dyDescent="0.2">
      <c r="A20" s="14" t="s">
        <v>370</v>
      </c>
      <c r="B20" s="27">
        <v>10</v>
      </c>
      <c r="C20" s="14" t="s">
        <v>371</v>
      </c>
      <c r="D20" s="25" t="s">
        <v>372</v>
      </c>
    </row>
    <row r="21" spans="1:4" x14ac:dyDescent="0.2">
      <c r="A21" s="14" t="s">
        <v>373</v>
      </c>
      <c r="B21" s="31">
        <f>Pricing!B58</f>
        <v>0.1</v>
      </c>
      <c r="C21" s="14" t="s">
        <v>374</v>
      </c>
    </row>
    <row r="22" spans="1:4" x14ac:dyDescent="0.2">
      <c r="A22" s="11" t="s">
        <v>375</v>
      </c>
      <c r="B22" s="24">
        <f>B16*B17+B18*B19+B20*B21</f>
        <v>8.14</v>
      </c>
    </row>
    <row r="24" spans="1:4" x14ac:dyDescent="0.2">
      <c r="A24" s="22" t="s">
        <v>376</v>
      </c>
      <c r="B24" s="22">
        <f>B12+B22</f>
        <v>10.14</v>
      </c>
    </row>
  </sheetData>
  <mergeCells count="3">
    <mergeCell ref="A1:D1"/>
    <mergeCell ref="A3:D3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75623"/>
  </sheetPr>
  <dimension ref="A1:M21"/>
  <sheetViews>
    <sheetView zoomScale="125" zoomScaleNormal="100" workbookViewId="0">
      <pane ySplit="2" topLeftCell="A10" activePane="bottomLeft" state="frozen"/>
      <selection pane="bottomLeft" activeCell="E8" sqref="E8"/>
    </sheetView>
  </sheetViews>
  <sheetFormatPr baseColWidth="10" defaultColWidth="8.6640625" defaultRowHeight="15" x14ac:dyDescent="0.2"/>
  <cols>
    <col min="1" max="1" width="20" customWidth="1"/>
    <col min="2" max="2" width="12" customWidth="1"/>
    <col min="3" max="3" width="10" customWidth="1"/>
    <col min="4" max="4" width="14.33203125" customWidth="1"/>
    <col min="5" max="5" width="18.6640625" customWidth="1"/>
    <col min="6" max="6" width="17.6640625" customWidth="1"/>
    <col min="7" max="7" width="10" customWidth="1"/>
    <col min="8" max="8" width="19.83203125" customWidth="1"/>
    <col min="9" max="9" width="25.83203125" customWidth="1"/>
    <col min="10" max="10" width="21.1640625" customWidth="1"/>
    <col min="11" max="11" width="19.1640625" customWidth="1"/>
    <col min="12" max="12" width="16" customWidth="1"/>
    <col min="13" max="13" width="18" customWidth="1"/>
  </cols>
  <sheetData>
    <row r="1" spans="1:13" ht="19.5" customHeight="1" x14ac:dyDescent="0.2">
      <c r="A1" s="3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">
      <c r="A2" s="2" t="s">
        <v>378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27.75" customHeight="1" x14ac:dyDescent="0.2">
      <c r="A4" s="33" t="s">
        <v>379</v>
      </c>
      <c r="B4" s="33" t="s">
        <v>380</v>
      </c>
      <c r="C4" s="33" t="s">
        <v>381</v>
      </c>
      <c r="D4" s="33" t="s">
        <v>382</v>
      </c>
      <c r="E4" s="33" t="s">
        <v>383</v>
      </c>
      <c r="F4" s="33" t="s">
        <v>384</v>
      </c>
      <c r="G4" s="33" t="s">
        <v>385</v>
      </c>
      <c r="H4" s="33" t="s">
        <v>386</v>
      </c>
      <c r="I4" s="33" t="s">
        <v>387</v>
      </c>
      <c r="J4" s="33" t="s">
        <v>388</v>
      </c>
      <c r="K4" s="33" t="s">
        <v>389</v>
      </c>
      <c r="L4" s="33" t="s">
        <v>390</v>
      </c>
      <c r="M4" s="33" t="s">
        <v>7</v>
      </c>
    </row>
    <row r="5" spans="1:13" x14ac:dyDescent="0.2">
      <c r="A5" s="11" t="s">
        <v>391</v>
      </c>
      <c r="B5" s="34">
        <v>50</v>
      </c>
      <c r="C5" s="34">
        <v>3</v>
      </c>
      <c r="D5" s="34">
        <v>1</v>
      </c>
      <c r="E5" s="34">
        <v>2</v>
      </c>
      <c r="F5" s="34">
        <v>2</v>
      </c>
      <c r="G5" s="34">
        <v>3</v>
      </c>
      <c r="H5" s="35">
        <f>(C5*(1*Pricing!B5+2*Pricing!B6)+D5*(0.5*Pricing!B5+1*Pricing!B6))*730</f>
        <v>157.4391</v>
      </c>
      <c r="I5" s="35">
        <f>(E5*Pricing!B20+F5*Pricing!B27)*730</f>
        <v>906.66</v>
      </c>
      <c r="J5" s="35">
        <f>G5*(Pricing!B32*730+20*Pricing!B15)</f>
        <v>384.41399999999999</v>
      </c>
      <c r="K5" s="35">
        <f>Messaging!B13+Network!B10+Network!B20+Network!B28+DevOps!B24</f>
        <v>282.26599999999996</v>
      </c>
      <c r="L5" s="36">
        <f t="shared" ref="L5:L11" si="0">H5+I5+J5+K5</f>
        <v>1730.7790999999997</v>
      </c>
      <c r="M5" s="35">
        <f t="shared" ref="M5:M11" si="1">L5*12</f>
        <v>20769.349199999997</v>
      </c>
    </row>
    <row r="6" spans="1:13" x14ac:dyDescent="0.2">
      <c r="A6" s="18" t="s">
        <v>392</v>
      </c>
      <c r="B6" s="34">
        <v>100</v>
      </c>
      <c r="C6" s="34">
        <v>4</v>
      </c>
      <c r="D6" s="34">
        <v>2</v>
      </c>
      <c r="E6" s="34">
        <v>2</v>
      </c>
      <c r="F6" s="34">
        <v>2</v>
      </c>
      <c r="G6" s="34">
        <v>3</v>
      </c>
      <c r="H6" s="35">
        <f>(C6*(1*Pricing!B5+2*Pricing!B6)+D6*(0.5*Pricing!B5+1*Pricing!B6))*730</f>
        <v>224.91299999999998</v>
      </c>
      <c r="I6" s="35">
        <f>(E6*Pricing!B20+F6*Pricing!B27)*730</f>
        <v>906.66</v>
      </c>
      <c r="J6" s="35">
        <f>G6*(Pricing!B32*730+20*Pricing!B15)</f>
        <v>384.41399999999999</v>
      </c>
      <c r="K6" s="35">
        <f>Messaging!B13+Network!B10+Network!B20+Network!B28+DevOps!B24</f>
        <v>282.26599999999996</v>
      </c>
      <c r="L6" s="36">
        <f t="shared" si="0"/>
        <v>1798.2529999999997</v>
      </c>
      <c r="M6" s="35">
        <f t="shared" si="1"/>
        <v>21579.035999999996</v>
      </c>
    </row>
    <row r="7" spans="1:13" x14ac:dyDescent="0.2">
      <c r="A7" s="14" t="s">
        <v>393</v>
      </c>
      <c r="B7" s="34">
        <v>250</v>
      </c>
      <c r="C7" s="34">
        <v>6</v>
      </c>
      <c r="D7" s="34">
        <v>2</v>
      </c>
      <c r="E7" s="34">
        <v>2</v>
      </c>
      <c r="F7" s="34">
        <v>2</v>
      </c>
      <c r="G7" s="34">
        <v>3</v>
      </c>
      <c r="H7" s="35">
        <f>(C7*(1*Pricing!B5+2*Pricing!B6)+D7*(0.5*Pricing!B5+1*Pricing!B6))*730</f>
        <v>314.87819999999999</v>
      </c>
      <c r="I7" s="35">
        <f>(E7*Pricing!B20+F7*Pricing!B27)*730</f>
        <v>906.66</v>
      </c>
      <c r="J7" s="35">
        <f>G7*(Pricing!B32*730+20*Pricing!B15)</f>
        <v>384.41399999999999</v>
      </c>
      <c r="K7" s="35">
        <f>Messaging!B13+Network!B10+Network!B20+Network!B28+DevOps!B24</f>
        <v>282.26599999999996</v>
      </c>
      <c r="L7" s="36">
        <f t="shared" si="0"/>
        <v>1888.2181999999998</v>
      </c>
      <c r="M7" s="35">
        <f t="shared" si="1"/>
        <v>22658.618399999999</v>
      </c>
    </row>
    <row r="8" spans="1:13" x14ac:dyDescent="0.2">
      <c r="A8" s="18" t="s">
        <v>394</v>
      </c>
      <c r="B8" s="34">
        <v>500</v>
      </c>
      <c r="C8" s="34">
        <v>8</v>
      </c>
      <c r="D8" s="34">
        <v>3</v>
      </c>
      <c r="E8" s="34">
        <v>2</v>
      </c>
      <c r="F8" s="34">
        <v>4</v>
      </c>
      <c r="G8" s="34">
        <v>5</v>
      </c>
      <c r="H8" s="35">
        <f>(C8*(1*Pricing!B5+2*Pricing!B6)+D8*(0.5*Pricing!B5+1*Pricing!B6))*730</f>
        <v>427.3347</v>
      </c>
      <c r="I8" s="35">
        <f>(E8*Pricing!B20+F8*Pricing!B27)*730</f>
        <v>1305.24</v>
      </c>
      <c r="J8" s="35">
        <f>G8*(Pricing!B32*730+20*Pricing!B15)</f>
        <v>640.69000000000005</v>
      </c>
      <c r="K8" s="35">
        <f>Messaging!B13+Network!B10+Network!B20+Network!B28+DevOps!B24</f>
        <v>282.26599999999996</v>
      </c>
      <c r="L8" s="36">
        <f t="shared" si="0"/>
        <v>2655.5307000000003</v>
      </c>
      <c r="M8" s="35">
        <f t="shared" si="1"/>
        <v>31866.368400000003</v>
      </c>
    </row>
    <row r="9" spans="1:13" x14ac:dyDescent="0.2">
      <c r="A9" s="14" t="s">
        <v>395</v>
      </c>
      <c r="B9" s="34">
        <v>1000</v>
      </c>
      <c r="C9" s="34">
        <v>12</v>
      </c>
      <c r="D9" s="34">
        <v>4</v>
      </c>
      <c r="E9" s="34">
        <v>3</v>
      </c>
      <c r="F9" s="34">
        <v>4</v>
      </c>
      <c r="G9" s="34">
        <v>5</v>
      </c>
      <c r="H9" s="35">
        <f>(C9*(1*Pricing!B5+2*Pricing!B6)+D9*(0.5*Pricing!B5+1*Pricing!B6))*730</f>
        <v>629.75639999999999</v>
      </c>
      <c r="I9" s="35">
        <f>(E9*Pricing!B20+F9*Pricing!B27)*730</f>
        <v>1559.2800000000002</v>
      </c>
      <c r="J9" s="35">
        <f>G9*(Pricing!B32*730+20*Pricing!B15)</f>
        <v>640.69000000000005</v>
      </c>
      <c r="K9" s="35">
        <f>Messaging!B13+Network!B10+Network!B20+Network!B28+DevOps!B24</f>
        <v>282.26599999999996</v>
      </c>
      <c r="L9" s="36">
        <f t="shared" si="0"/>
        <v>3111.9924000000001</v>
      </c>
      <c r="M9" s="35">
        <f t="shared" si="1"/>
        <v>37343.908800000005</v>
      </c>
    </row>
    <row r="10" spans="1:13" x14ac:dyDescent="0.2">
      <c r="A10" s="18" t="s">
        <v>396</v>
      </c>
      <c r="B10" s="34">
        <v>2500</v>
      </c>
      <c r="C10" s="34">
        <v>20</v>
      </c>
      <c r="D10" s="34">
        <v>6</v>
      </c>
      <c r="E10" s="34">
        <v>4</v>
      </c>
      <c r="F10" s="34">
        <v>6</v>
      </c>
      <c r="G10" s="34">
        <v>9</v>
      </c>
      <c r="H10" s="35">
        <f>(C10*(1*Pricing!B5+2*Pricing!B6)+D10*(0.5*Pricing!B5+1*Pricing!B6))*730</f>
        <v>1034.5998</v>
      </c>
      <c r="I10" s="35">
        <f>(E10*Pricing!B20+F10*Pricing!B27)*730</f>
        <v>2211.9</v>
      </c>
      <c r="J10" s="35">
        <f>G10*(Pricing!B32*730+20*Pricing!B15)</f>
        <v>1153.242</v>
      </c>
      <c r="K10" s="35">
        <f>Messaging!B13+Network!B10+Network!B20+Network!B28+DevOps!B24</f>
        <v>282.26599999999996</v>
      </c>
      <c r="L10" s="36">
        <f t="shared" si="0"/>
        <v>4682.0077999999994</v>
      </c>
      <c r="M10" s="35">
        <f t="shared" si="1"/>
        <v>56184.093599999993</v>
      </c>
    </row>
    <row r="11" spans="1:13" x14ac:dyDescent="0.2">
      <c r="A11" s="14" t="s">
        <v>397</v>
      </c>
      <c r="B11" s="34">
        <v>5000</v>
      </c>
      <c r="C11" s="34">
        <v>30</v>
      </c>
      <c r="D11" s="34">
        <v>10</v>
      </c>
      <c r="E11" s="34">
        <v>6</v>
      </c>
      <c r="F11" s="34">
        <v>8</v>
      </c>
      <c r="G11" s="34">
        <v>9</v>
      </c>
      <c r="H11" s="35">
        <f>(C11*(1*Pricing!B5+2*Pricing!B6)+D11*(0.5*Pricing!B5+1*Pricing!B6))*730</f>
        <v>1574.3909999999998</v>
      </c>
      <c r="I11" s="35">
        <f>(E11*Pricing!B20+F11*Pricing!B27)*730</f>
        <v>3118.5600000000004</v>
      </c>
      <c r="J11" s="35">
        <f>G11*(Pricing!B32*730+20*Pricing!B15)</f>
        <v>1153.242</v>
      </c>
      <c r="K11" s="35">
        <f>Messaging!B13+Network!B10+Network!B20+Network!B28+DevOps!B24</f>
        <v>282.26599999999996</v>
      </c>
      <c r="L11" s="36">
        <f t="shared" si="0"/>
        <v>6128.4589999999998</v>
      </c>
      <c r="M11" s="35">
        <f t="shared" si="1"/>
        <v>73541.508000000002</v>
      </c>
    </row>
    <row r="14" spans="1:13" ht="15.75" customHeight="1" x14ac:dyDescent="0.2">
      <c r="A14" s="9" t="s">
        <v>398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2">
      <c r="A15" s="2" t="s">
        <v>399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 t="s">
        <v>400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 t="s">
        <v>401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 t="s">
        <v>402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 t="s">
        <v>403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 t="s">
        <v>404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 t="s">
        <v>405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mergeCells count="10">
    <mergeCell ref="A17:M17"/>
    <mergeCell ref="A18:M18"/>
    <mergeCell ref="A19:M19"/>
    <mergeCell ref="A20:M20"/>
    <mergeCell ref="A21:M21"/>
    <mergeCell ref="A1:M1"/>
    <mergeCell ref="A2:M2"/>
    <mergeCell ref="A14:M14"/>
    <mergeCell ref="A15:M15"/>
    <mergeCell ref="A16:M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546A"/>
  </sheetPr>
  <dimension ref="A1:C47"/>
  <sheetViews>
    <sheetView zoomScale="150" zoomScaleNormal="100" workbookViewId="0">
      <pane ySplit="2" topLeftCell="A3" activePane="bottomLeft" state="frozen"/>
      <selection pane="bottomLeft" activeCell="E18" sqref="E18"/>
    </sheetView>
  </sheetViews>
  <sheetFormatPr baseColWidth="10" defaultColWidth="8.6640625" defaultRowHeight="15" x14ac:dyDescent="0.2"/>
  <cols>
    <col min="1" max="1" width="32" customWidth="1"/>
    <col min="2" max="2" width="28" customWidth="1"/>
    <col min="3" max="3" width="40" customWidth="1"/>
  </cols>
  <sheetData>
    <row r="1" spans="1:3" ht="19.5" customHeight="1" x14ac:dyDescent="0.2">
      <c r="A1" s="3" t="s">
        <v>406</v>
      </c>
      <c r="B1" s="3"/>
      <c r="C1" s="3"/>
    </row>
    <row r="3" spans="1:3" ht="15.75" customHeight="1" x14ac:dyDescent="0.2">
      <c r="A3" s="1" t="s">
        <v>407</v>
      </c>
      <c r="B3" s="1"/>
      <c r="C3" s="1"/>
    </row>
    <row r="4" spans="1:3" x14ac:dyDescent="0.2">
      <c r="A4" s="13" t="s">
        <v>408</v>
      </c>
      <c r="B4" s="13" t="s">
        <v>409</v>
      </c>
      <c r="C4" s="13" t="s">
        <v>36</v>
      </c>
    </row>
    <row r="5" spans="1:3" x14ac:dyDescent="0.2">
      <c r="A5" s="14" t="s">
        <v>410</v>
      </c>
      <c r="B5" s="14" t="s">
        <v>411</v>
      </c>
      <c r="C5" s="25" t="s">
        <v>412</v>
      </c>
    </row>
    <row r="6" spans="1:3" x14ac:dyDescent="0.2">
      <c r="A6" s="18" t="s">
        <v>413</v>
      </c>
      <c r="B6" s="14" t="s">
        <v>414</v>
      </c>
      <c r="C6" s="25" t="s">
        <v>415</v>
      </c>
    </row>
    <row r="7" spans="1:3" x14ac:dyDescent="0.2">
      <c r="A7" s="14" t="s">
        <v>416</v>
      </c>
      <c r="B7" s="14" t="s">
        <v>417</v>
      </c>
      <c r="C7" s="25" t="s">
        <v>418</v>
      </c>
    </row>
    <row r="8" spans="1:3" x14ac:dyDescent="0.2">
      <c r="A8" s="18" t="s">
        <v>419</v>
      </c>
      <c r="B8" s="14" t="s">
        <v>420</v>
      </c>
      <c r="C8" s="25" t="s">
        <v>421</v>
      </c>
    </row>
    <row r="9" spans="1:3" x14ac:dyDescent="0.2">
      <c r="A9" s="14" t="s">
        <v>422</v>
      </c>
      <c r="B9" s="14" t="s">
        <v>423</v>
      </c>
      <c r="C9" s="25" t="s">
        <v>424</v>
      </c>
    </row>
    <row r="10" spans="1:3" x14ac:dyDescent="0.2">
      <c r="A10" s="18" t="s">
        <v>425</v>
      </c>
      <c r="B10" s="14" t="s">
        <v>426</v>
      </c>
      <c r="C10" s="25" t="s">
        <v>427</v>
      </c>
    </row>
    <row r="11" spans="1:3" x14ac:dyDescent="0.2">
      <c r="A11" s="14" t="s">
        <v>73</v>
      </c>
      <c r="B11" s="14" t="s">
        <v>428</v>
      </c>
      <c r="C11" s="25" t="s">
        <v>429</v>
      </c>
    </row>
    <row r="12" spans="1:3" x14ac:dyDescent="0.2">
      <c r="A12" s="18" t="s">
        <v>430</v>
      </c>
      <c r="B12" s="14" t="s">
        <v>431</v>
      </c>
      <c r="C12" s="25" t="s">
        <v>432</v>
      </c>
    </row>
    <row r="14" spans="1:3" ht="15.75" customHeight="1" x14ac:dyDescent="0.2">
      <c r="A14" s="1" t="s">
        <v>433</v>
      </c>
      <c r="B14" s="1"/>
      <c r="C14" s="1"/>
    </row>
    <row r="15" spans="1:3" x14ac:dyDescent="0.2">
      <c r="A15" s="13" t="s">
        <v>408</v>
      </c>
      <c r="B15" s="13" t="s">
        <v>409</v>
      </c>
      <c r="C15" s="13" t="s">
        <v>36</v>
      </c>
    </row>
    <row r="16" spans="1:3" x14ac:dyDescent="0.2">
      <c r="A16" s="14" t="s">
        <v>434</v>
      </c>
      <c r="B16" s="14" t="s">
        <v>435</v>
      </c>
      <c r="C16" s="25"/>
    </row>
    <row r="17" spans="1:3" x14ac:dyDescent="0.2">
      <c r="A17" s="18" t="s">
        <v>436</v>
      </c>
      <c r="B17" s="14" t="s">
        <v>437</v>
      </c>
      <c r="C17" s="25"/>
    </row>
    <row r="18" spans="1:3" x14ac:dyDescent="0.2">
      <c r="A18" s="14" t="s">
        <v>438</v>
      </c>
      <c r="B18" s="14" t="s">
        <v>439</v>
      </c>
      <c r="C18" s="25" t="s">
        <v>440</v>
      </c>
    </row>
    <row r="19" spans="1:3" x14ac:dyDescent="0.2">
      <c r="A19" s="18" t="s">
        <v>441</v>
      </c>
      <c r="B19" s="14" t="s">
        <v>442</v>
      </c>
      <c r="C19" s="25" t="s">
        <v>443</v>
      </c>
    </row>
    <row r="20" spans="1:3" x14ac:dyDescent="0.2">
      <c r="A20" s="14" t="s">
        <v>444</v>
      </c>
      <c r="B20" s="14" t="s">
        <v>445</v>
      </c>
      <c r="C20" s="25" t="s">
        <v>446</v>
      </c>
    </row>
    <row r="21" spans="1:3" x14ac:dyDescent="0.2">
      <c r="A21" s="18" t="s">
        <v>447</v>
      </c>
      <c r="B21" s="14" t="s">
        <v>448</v>
      </c>
      <c r="C21" s="25" t="s">
        <v>449</v>
      </c>
    </row>
    <row r="22" spans="1:3" x14ac:dyDescent="0.2">
      <c r="A22" s="14" t="s">
        <v>450</v>
      </c>
      <c r="B22" s="14" t="s">
        <v>451</v>
      </c>
      <c r="C22" s="25" t="s">
        <v>452</v>
      </c>
    </row>
    <row r="24" spans="1:3" ht="15.75" customHeight="1" x14ac:dyDescent="0.2">
      <c r="A24" s="1" t="s">
        <v>453</v>
      </c>
      <c r="B24" s="1"/>
      <c r="C24" s="1"/>
    </row>
    <row r="25" spans="1:3" x14ac:dyDescent="0.2">
      <c r="A25" s="13" t="s">
        <v>408</v>
      </c>
      <c r="B25" s="13" t="s">
        <v>409</v>
      </c>
      <c r="C25" s="13" t="s">
        <v>36</v>
      </c>
    </row>
    <row r="26" spans="1:3" x14ac:dyDescent="0.2">
      <c r="A26" s="14" t="s">
        <v>454</v>
      </c>
      <c r="B26" s="14" t="s">
        <v>455</v>
      </c>
      <c r="C26" s="25" t="s">
        <v>456</v>
      </c>
    </row>
    <row r="27" spans="1:3" x14ac:dyDescent="0.2">
      <c r="A27" s="18" t="s">
        <v>457</v>
      </c>
      <c r="B27" s="14" t="s">
        <v>458</v>
      </c>
      <c r="C27" s="25" t="s">
        <v>459</v>
      </c>
    </row>
    <row r="28" spans="1:3" x14ac:dyDescent="0.2">
      <c r="A28" s="14" t="s">
        <v>460</v>
      </c>
      <c r="B28" s="14" t="s">
        <v>461</v>
      </c>
      <c r="C28" s="25" t="s">
        <v>462</v>
      </c>
    </row>
    <row r="29" spans="1:3" x14ac:dyDescent="0.2">
      <c r="A29" s="18" t="s">
        <v>463</v>
      </c>
      <c r="B29" s="14" t="s">
        <v>464</v>
      </c>
      <c r="C29" s="25" t="s">
        <v>465</v>
      </c>
    </row>
    <row r="31" spans="1:3" ht="15.75" customHeight="1" x14ac:dyDescent="0.2">
      <c r="A31" s="1" t="s">
        <v>466</v>
      </c>
      <c r="B31" s="1"/>
      <c r="C31" s="1"/>
    </row>
    <row r="32" spans="1:3" x14ac:dyDescent="0.2">
      <c r="A32" s="13" t="s">
        <v>408</v>
      </c>
      <c r="B32" s="13" t="s">
        <v>409</v>
      </c>
      <c r="C32" s="13" t="s">
        <v>36</v>
      </c>
    </row>
    <row r="33" spans="1:3" x14ac:dyDescent="0.2">
      <c r="A33" s="14" t="s">
        <v>467</v>
      </c>
      <c r="B33" s="14" t="s">
        <v>468</v>
      </c>
      <c r="C33" s="25" t="s">
        <v>469</v>
      </c>
    </row>
    <row r="34" spans="1:3" x14ac:dyDescent="0.2">
      <c r="A34" s="18" t="s">
        <v>470</v>
      </c>
      <c r="B34" s="14" t="s">
        <v>471</v>
      </c>
      <c r="C34" s="25" t="s">
        <v>472</v>
      </c>
    </row>
    <row r="35" spans="1:3" x14ac:dyDescent="0.2">
      <c r="A35" s="14" t="s">
        <v>473</v>
      </c>
      <c r="B35" s="14" t="s">
        <v>474</v>
      </c>
      <c r="C35" s="25" t="s">
        <v>475</v>
      </c>
    </row>
    <row r="36" spans="1:3" x14ac:dyDescent="0.2">
      <c r="A36" s="18" t="s">
        <v>476</v>
      </c>
      <c r="B36" s="14" t="s">
        <v>477</v>
      </c>
      <c r="C36" s="25" t="s">
        <v>478</v>
      </c>
    </row>
    <row r="37" spans="1:3" x14ac:dyDescent="0.2">
      <c r="A37" s="14" t="s">
        <v>479</v>
      </c>
      <c r="B37" s="14" t="s">
        <v>480</v>
      </c>
      <c r="C37" s="25" t="s">
        <v>481</v>
      </c>
    </row>
    <row r="38" spans="1:3" x14ac:dyDescent="0.2">
      <c r="A38" s="18" t="s">
        <v>482</v>
      </c>
      <c r="B38" s="14" t="s">
        <v>483</v>
      </c>
      <c r="C38" s="25" t="s">
        <v>484</v>
      </c>
    </row>
    <row r="40" spans="1:3" ht="15.75" customHeight="1" x14ac:dyDescent="0.2">
      <c r="A40" s="1" t="s">
        <v>485</v>
      </c>
      <c r="B40" s="1"/>
      <c r="C40" s="1"/>
    </row>
    <row r="41" spans="1:3" x14ac:dyDescent="0.2">
      <c r="A41" s="13" t="s">
        <v>408</v>
      </c>
      <c r="B41" s="13" t="s">
        <v>409</v>
      </c>
      <c r="C41" s="13" t="s">
        <v>36</v>
      </c>
    </row>
    <row r="42" spans="1:3" x14ac:dyDescent="0.2">
      <c r="A42" s="14" t="s">
        <v>486</v>
      </c>
      <c r="B42" s="14" t="s">
        <v>487</v>
      </c>
      <c r="C42" s="25" t="s">
        <v>488</v>
      </c>
    </row>
    <row r="43" spans="1:3" x14ac:dyDescent="0.2">
      <c r="A43" s="18" t="s">
        <v>489</v>
      </c>
      <c r="B43" s="14" t="s">
        <v>490</v>
      </c>
      <c r="C43" s="25" t="s">
        <v>491</v>
      </c>
    </row>
    <row r="44" spans="1:3" x14ac:dyDescent="0.2">
      <c r="A44" s="14" t="s">
        <v>492</v>
      </c>
      <c r="B44" s="14" t="s">
        <v>493</v>
      </c>
      <c r="C44" s="25" t="s">
        <v>494</v>
      </c>
    </row>
    <row r="45" spans="1:3" x14ac:dyDescent="0.2">
      <c r="A45" s="18" t="s">
        <v>495</v>
      </c>
      <c r="B45" s="14" t="s">
        <v>496</v>
      </c>
      <c r="C45" s="25" t="s">
        <v>497</v>
      </c>
    </row>
    <row r="46" spans="1:3" x14ac:dyDescent="0.2">
      <c r="A46" s="14" t="s">
        <v>498</v>
      </c>
      <c r="B46" s="14" t="s">
        <v>499</v>
      </c>
      <c r="C46" s="25" t="s">
        <v>500</v>
      </c>
    </row>
    <row r="47" spans="1:3" x14ac:dyDescent="0.2">
      <c r="A47" s="18" t="s">
        <v>501</v>
      </c>
      <c r="B47" s="14" t="s">
        <v>502</v>
      </c>
      <c r="C47" s="25" t="s">
        <v>503</v>
      </c>
    </row>
  </sheetData>
  <mergeCells count="6">
    <mergeCell ref="A40:C40"/>
    <mergeCell ref="A1:C1"/>
    <mergeCell ref="A3:C3"/>
    <mergeCell ref="A14:C14"/>
    <mergeCell ref="A24:C24"/>
    <mergeCell ref="A31:C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Pricing</vt:lpstr>
      <vt:lpstr>Inputs</vt:lpstr>
      <vt:lpstr>Compute</vt:lpstr>
      <vt:lpstr>Storage</vt:lpstr>
      <vt:lpstr>Database</vt:lpstr>
      <vt:lpstr>Messaging</vt:lpstr>
      <vt:lpstr>Network</vt:lpstr>
      <vt:lpstr>DevOps</vt:lpstr>
      <vt:lpstr>Projections</vt:lpstr>
      <vt:lpstr>Cheat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Ranjit Singh</cp:lastModifiedBy>
  <cp:revision>0</cp:revision>
  <dcterms:created xsi:type="dcterms:W3CDTF">2026-05-09T18:14:19Z</dcterms:created>
  <dcterms:modified xsi:type="dcterms:W3CDTF">2026-05-10T04:27:10Z</dcterms:modified>
  <dc:language>en-US</dc:language>
</cp:coreProperties>
</file>